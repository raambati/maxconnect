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mand Framework" sheetId="1" state="visible" r:id="rId3"/>
    <sheet name="Calculation Trace" sheetId="2" state="visible" r:id="rId4"/>
    <sheet name="Calculator" sheetId="3" state="visible" r:id="rId5"/>
    <sheet name="Assumptions &amp; Open Item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<sst xmlns="http://schemas.openxmlformats.org/spreadsheetml/2006/main" count="445" uniqueCount="333">
  <si>
    <t xml:space="preserve">Demand Pressure - the framework</t>
  </si>
  <si>
    <t xml:space="preserve">Question this answers: 'Which queues need extra help right now?'  Four live signals are turned into scores, weighted, and combined into a 0-100 pressure score and a band for every voice queue.</t>
  </si>
  <si>
    <t xml:space="preserve">Tabs:  'Calculation Trace' - pick a dashboard row and see how its score was worked out (formula | value | explanation).  'Calculator' - all queues and scenarios side by side.  'Assumptions &amp; Open Items' - where every number came from and what is not yet settled.   Mint = value set by configuration (edit to test).  Purple = live data.  Yellow = key result.  Amber = not settled.</t>
  </si>
  <si>
    <t xml:space="preserve">1. Design objectives - what a good demand score must do (from the design document, section 6.1)</t>
  </si>
  <si>
    <t xml:space="preserve">Objective</t>
  </si>
  <si>
    <t xml:space="preserve">What it means</t>
  </si>
  <si>
    <t xml:space="preserve">Status</t>
  </si>
  <si>
    <t xml:space="preserve">Timely</t>
  </si>
  <si>
    <t xml:space="preserve">Reflects the queue as it is now, not as it was earlier</t>
  </si>
  <si>
    <t xml:space="preserve">Built - how often it runs is not yet confirmed (schedule trigger unverified)</t>
  </si>
  <si>
    <t xml:space="preserve">Explainable</t>
  </si>
  <si>
    <t xml:space="preserve">A supervisor can see why a queue scored what it did</t>
  </si>
  <si>
    <t xml:space="preserve">Built - the score and every component are stored per queue</t>
  </si>
  <si>
    <t xml:space="preserve">Comparable across queues</t>
  </si>
  <si>
    <t xml:space="preserve">Every queue is scored on the same 0-100 scale</t>
  </si>
  <si>
    <t xml:space="preserve">Built</t>
  </si>
  <si>
    <t xml:space="preserve">Configurable</t>
  </si>
  <si>
    <t xml:space="preserve">Weights, thresholds and bands live in configuration, not in code</t>
  </si>
  <si>
    <t xml:space="preserve">Built - values below are the current defaults</t>
  </si>
  <si>
    <t xml:space="preserve">Resistant to short-lived spikes</t>
  </si>
  <si>
    <t xml:space="preserve">A brief spike should not trigger a reaction</t>
  </si>
  <si>
    <t xml:space="preserve">NOT built - each run is a snapshot with no memory of the previous run</t>
  </si>
  <si>
    <t xml:space="preserve">Usable by dashboards and the supply calculation</t>
  </si>
  <si>
    <t xml:space="preserve">Scores are stored so other components can read them</t>
  </si>
  <si>
    <t xml:space="preserve">Partly built - scores are stored; how the dashboard reads them is separate</t>
  </si>
  <si>
    <t xml:space="preserve">2. Configuration - the values that drive the score (edit the mint cells to test alternatives)</t>
  </si>
  <si>
    <t xml:space="preserve">Signal</t>
  </si>
  <si>
    <t xml:space="preserve">What it measures</t>
  </si>
  <si>
    <t xml:space="preserve">Maximum-out threshold</t>
  </si>
  <si>
    <t xml:space="preserve">Unit</t>
  </si>
  <si>
    <t xml:space="preserve">Weight</t>
  </si>
  <si>
    <t xml:space="preserve">Score formula (0 = no pressure, 1 = at the limit)</t>
  </si>
  <si>
    <t xml:space="preserve">How far this has been verified</t>
  </si>
  <si>
    <t xml:space="preserve">Queue depth</t>
  </si>
  <si>
    <t xml:space="preserve">Contacts currently waiting in the queue</t>
  </si>
  <si>
    <t xml:space="preserve">contacts</t>
  </si>
  <si>
    <t xml:space="preserve">MIN( contacts waiting ÷ threshold , 1 )</t>
  </si>
  <si>
    <t xml:space="preserve">Verified: 1 waiting contact scored 0.1 in a real Lambda result</t>
  </si>
  <si>
    <t xml:space="preserve">Oldest contact age</t>
  </si>
  <si>
    <t xml:space="preserve">How long the longest-waiting contact has waited</t>
  </si>
  <si>
    <t xml:space="preserve">seconds</t>
  </si>
  <si>
    <t xml:space="preserve">MIN( oldest wait ÷ threshold , 1 )</t>
  </si>
  <si>
    <t xml:space="preserve">Verified at the cap (a 415,122 s wait scored 1.0). Proportional below the cap is assumed</t>
  </si>
  <si>
    <t xml:space="preserve">Available agent shortage</t>
  </si>
  <si>
    <t xml:space="preserve">Share of staffed agents who are NOT free right now</t>
  </si>
  <si>
    <t xml:space="preserve">n/a</t>
  </si>
  <si>
    <t xml:space="preserve">ratio 0-1</t>
  </si>
  <si>
    <t xml:space="preserve">IF( staffed &lt;= 0 , 1 , 1 - available ÷ staffed )</t>
  </si>
  <si>
    <t xml:space="preserve">Inferred: reproduces 0 of 0, 1 of 12 and 1 of 14 available. Other ratios assumed proportional</t>
  </si>
  <si>
    <t xml:space="preserve">Queued workload</t>
  </si>
  <si>
    <t xml:space="preserve">Contacts waiting x average handle time</t>
  </si>
  <si>
    <t xml:space="preserve">seconds of work</t>
  </si>
  <si>
    <t xml:space="preserve">MIN( contacts × handle time ÷ threshold , 1 )</t>
  </si>
  <si>
    <t xml:space="preserve">Verified at one point: 1 contact x 600 s / 1800 = 0.3333 in a real Lambda result</t>
  </si>
  <si>
    <t xml:space="preserve">Total weight</t>
  </si>
  <si>
    <t xml:space="preserve">Other setting</t>
  </si>
  <si>
    <t xml:space="preserve">Note</t>
  </si>
  <si>
    <t xml:space="preserve">Value</t>
  </si>
  <si>
    <t xml:space="preserve">Default average handle time</t>
  </si>
  <si>
    <t xml:space="preserve">Used because handle-time data only refreshes once a day</t>
  </si>
  <si>
    <t xml:space="preserve">Maximum queue-data age</t>
  </si>
  <si>
    <t xml:space="preserve">Older data is flagged STALE and is not scored</t>
  </si>
  <si>
    <t xml:space="preserve">Score scale</t>
  </si>
  <si>
    <t xml:space="preserve">Top of the score range</t>
  </si>
  <si>
    <t xml:space="preserve">points</t>
  </si>
  <si>
    <t xml:space="preserve">Band</t>
  </si>
  <si>
    <t xml:space="preserve">Meaning</t>
  </si>
  <si>
    <t xml:space="preserve">Score from (inclusive)</t>
  </si>
  <si>
    <t xml:space="preserve">NORMAL</t>
  </si>
  <si>
    <t xml:space="preserve">No unusual pressure</t>
  </si>
  <si>
    <t xml:space="preserve">LOW</t>
  </si>
  <si>
    <t xml:space="preserve">Building - watch</t>
  </si>
  <si>
    <t xml:space="preserve">MEDIUM</t>
  </si>
  <si>
    <t xml:space="preserve">Needs attention</t>
  </si>
  <si>
    <t xml:space="preserve">HIGH</t>
  </si>
  <si>
    <t xml:space="preserve">Significant pressure</t>
  </si>
  <si>
    <t xml:space="preserve">CRITICAL</t>
  </si>
  <si>
    <t xml:space="preserve">Immediate help needed</t>
  </si>
  <si>
    <t xml:space="preserve">The dashboard shows four bands (Normal / Elevated / High / Critical) with different cut-offs from these five - see Open Items #3.</t>
  </si>
  <si>
    <t xml:space="preserve">3. Rules built into the calculation</t>
  </si>
  <si>
    <t xml:space="preserve">1.  Score = ROUND( ( depth x w1 + age x w2 + shortage x w3 + workload x w4 ) ÷ total weight × 100 , 2 ).</t>
  </si>
  <si>
    <t xml:space="preserve">2.  A queue with nobody waiting always scores 0 - even if it is short of agents.</t>
  </si>
  <si>
    <t xml:space="preserve">3.  Queue data older than the maximum age is flagged STALE and is not scored (no number, rather than a wrong one).</t>
  </si>
  <si>
    <t xml:space="preserve">4.  Every signal is capped at 1: once a queue reaches a threshold (e.g. 10 contacts or 300 seconds) that signal is 'maxed out' and more adds nothing further.</t>
  </si>
  <si>
    <t xml:space="preserve">5.  Only voice queues are scored in this release. Handle time uses a default because live handle-time data refreshes once a day.</t>
  </si>
  <si>
    <t xml:space="preserve">4. Signals the calculation already computes but currently ignores (weight 0)</t>
  </si>
  <si>
    <t xml:space="preserve">Default threshold</t>
  </si>
  <si>
    <t xml:space="preserve">Average handle time</t>
  </si>
  <si>
    <t xml:space="preserve">Computed in code, contributes nothing at weight 0 - not modelled here</t>
  </si>
  <si>
    <t xml:space="preserve">Unavailable agent ratio</t>
  </si>
  <si>
    <t xml:space="preserve">After-contact-work ratio</t>
  </si>
  <si>
    <t xml:space="preserve">Agents-on-contact ratio</t>
  </si>
  <si>
    <t xml:space="preserve">Staffing deficit (agents)</t>
  </si>
  <si>
    <t xml:space="preserve">Abandonment rate (%)</t>
  </si>
  <si>
    <t xml:space="preserve">Agent answer rate - minimum (%)</t>
  </si>
  <si>
    <t xml:space="preserve">Agent non-response</t>
  </si>
  <si>
    <t xml:space="preserve">Maximum queued time (s)</t>
  </si>
  <si>
    <t xml:space="preserve">5. Design versus built - inputs listed in the design document (section 6.2) and where they stand</t>
  </si>
  <si>
    <t xml:space="preserve">Input in the design document</t>
  </si>
  <si>
    <t xml:space="preserve">Closest signal in the calculation</t>
  </si>
  <si>
    <t xml:space="preserve">Contacts currently waiting</t>
  </si>
  <si>
    <t xml:space="preserve">Built - active</t>
  </si>
  <si>
    <t xml:space="preserve">Age of oldest contact</t>
  </si>
  <si>
    <t xml:space="preserve">Contacts waiting beyond service target</t>
  </si>
  <si>
    <t xml:space="preserve">Maximum queued time (closest match)</t>
  </si>
  <si>
    <t xml:space="preserve">In code, switched off</t>
  </si>
  <si>
    <t xml:space="preserve">Only oldest wait is scored today</t>
  </si>
  <si>
    <t xml:space="preserve">Recent unanswered / abandoned contacts</t>
  </si>
  <si>
    <t xml:space="preserve">Abandonment rate, answer rate, non-response</t>
  </si>
  <si>
    <t xml:space="preserve">Source data refreshes once a day</t>
  </si>
  <si>
    <t xml:space="preserve">Average handling time</t>
  </si>
  <si>
    <t xml:space="preserve">Queued workload (default handle time)</t>
  </si>
  <si>
    <t xml:space="preserve">Built - default value</t>
  </si>
  <si>
    <t xml:space="preserve">Live handle time is switched off</t>
  </si>
  <si>
    <t xml:space="preserve">Agents available</t>
  </si>
  <si>
    <t xml:space="preserve">Agents occupied</t>
  </si>
  <si>
    <t xml:space="preserve">Agents-on-contact and after-contact-work ratios</t>
  </si>
  <si>
    <t xml:space="preserve">Agents unavailable</t>
  </si>
  <si>
    <t xml:space="preserve">Expected near-term capacity</t>
  </si>
  <si>
    <t xml:space="preserve">-</t>
  </si>
  <si>
    <t xml:space="preserve">NOT built</t>
  </si>
  <si>
    <t xml:space="preserve">Recent arrival rate (rising or falling)</t>
  </si>
  <si>
    <t xml:space="preserve">Needs history the calculation does not keep</t>
  </si>
  <si>
    <t xml:space="preserve">Service criticality</t>
  </si>
  <si>
    <t xml:space="preserve">Separate framework</t>
  </si>
  <si>
    <t xml:space="preserve">Handled by the business priority framework, not the pressure score</t>
  </si>
  <si>
    <t xml:space="preserve">Queue operating status (closed, outside hours)</t>
  </si>
  <si>
    <t xml:space="preserve">Score stability / sustained pressure (section 6.5)</t>
  </si>
  <si>
    <t xml:space="preserve">Would stop a single spike triggering a reaction</t>
  </si>
  <si>
    <t xml:space="preserve">Calculation Trace - how was this score arrived at?</t>
  </si>
  <si>
    <t xml:space="preserve">Pick a row below (the list holds every dashboard row and scenario on the Calculator tab). Each step shows the FORMULA on the left, the VALUE in the middle and the EXPLANATION on the right - with this queue's own numbers filled in.</t>
  </si>
  <si>
    <t xml:space="preserve">Choose what to trace</t>
  </si>
  <si>
    <t xml:space="preserve">Pick</t>
  </si>
  <si>
    <t xml:space="preserve">NSPCC_Tel [dashboard screen 2]</t>
  </si>
  <si>
    <t xml:space="preserve">&lt;- choose from the drop-down. To trace your own numbers, overwrite the purple cells for any row on the Calculator tab.</t>
  </si>
  <si>
    <t xml:space="preserve">Row #</t>
  </si>
  <si>
    <t xml:space="preserve">(position of the picked row on the Calculator tab - used by the formulas below)</t>
  </si>
  <si>
    <t xml:space="preserve">Step</t>
  </si>
  <si>
    <t xml:space="preserve">FORMULA (how it is worked out)</t>
  </si>
  <si>
    <t xml:space="preserve">VALUE</t>
  </si>
  <si>
    <t xml:space="preserve">EXPLANATION</t>
  </si>
  <si>
    <t xml:space="preserve">A.  Inputs - read from the dashboard row / queue data</t>
  </si>
  <si>
    <t xml:space="preserve">In 1</t>
  </si>
  <si>
    <t xml:space="preserve">Queue name (from the dashboard row)</t>
  </si>
  <si>
    <t xml:space="preserve">In 2</t>
  </si>
  <si>
    <t xml:space="preserve">Contacts waiting  ('In queue' on the dashboard)</t>
  </si>
  <si>
    <t xml:space="preserve">In 3</t>
  </si>
  <si>
    <t xml:space="preserve">Oldest contact wait, in seconds  ('Oldest' on the dashboard)</t>
  </si>
  <si>
    <t xml:space="preserve">In 4</t>
  </si>
  <si>
    <t xml:space="preserve">Agents available  (first number of 'Available')</t>
  </si>
  <si>
    <t xml:space="preserve">In 5</t>
  </si>
  <si>
    <t xml:space="preserve">Agents staffed  (second number of 'Available')</t>
  </si>
  <si>
    <t xml:space="preserve">In 6</t>
  </si>
  <si>
    <t xml:space="preserve">Age of the queue snapshot, in seconds</t>
  </si>
  <si>
    <t xml:space="preserve">B.  Checks before scoring</t>
  </si>
  <si>
    <t xml:space="preserve">Check 1</t>
  </si>
  <si>
    <t xml:space="preserve">Check 2</t>
  </si>
  <si>
    <t xml:space="preserve">C.  The four signals - each turned into a 0-1 score</t>
  </si>
  <si>
    <t xml:space="preserve">Signal 1</t>
  </si>
  <si>
    <t xml:space="preserve">Signal 2</t>
  </si>
  <si>
    <t xml:space="preserve">Signal 3</t>
  </si>
  <si>
    <t xml:space="preserve">Signal 4a</t>
  </si>
  <si>
    <t xml:space="preserve">Signal 4b</t>
  </si>
  <si>
    <t xml:space="preserve">D.  Weighting - each score is multiplied by how much that signal matters</t>
  </si>
  <si>
    <t xml:space="preserve">Weight 1</t>
  </si>
  <si>
    <t xml:space="preserve">Weight 2</t>
  </si>
  <si>
    <t xml:space="preserve">Weight 3</t>
  </si>
  <si>
    <t xml:space="preserve">Weight 4</t>
  </si>
  <si>
    <t xml:space="preserve">Sum</t>
  </si>
  <si>
    <t xml:space="preserve">E.  Result</t>
  </si>
  <si>
    <t xml:space="preserve">Total</t>
  </si>
  <si>
    <t xml:space="preserve">Score</t>
  </si>
  <si>
    <t xml:space="preserve">Driver</t>
  </si>
  <si>
    <t xml:space="preserve">F.  Checks against other sources</t>
  </si>
  <si>
    <t xml:space="preserve">Check 3</t>
  </si>
  <si>
    <t xml:space="preserve">Check 4</t>
  </si>
  <si>
    <t xml:space="preserve">Reading the trace: grey cells on the left hold the formula in general terms with this queue's numbers underneath; the middle column is the result of that step; the right column says what it means. Purple = inputs from the dashboard row. Yellow = the score and its band.</t>
  </si>
  <si>
    <t xml:space="preserve">Calculator - every queue and scenario on one page</t>
  </si>
  <si>
    <t xml:space="preserve">Purple cells are live values you can overwrite. Everything else calculates. Rows marked 'Dashboard' were read from the dashboard's Sample data source; the 'Value shown' column is what the dashboard displayed.</t>
  </si>
  <si>
    <t xml:space="preserve">Data age is not shown on the dashboard, so 30 seconds is assumed for those rows. Dashboard values were read from photographs, so a digit could be misread - but the differences seen are large and consistent.</t>
  </si>
  <si>
    <t xml:space="preserve">Inputs (live data)</t>
  </si>
  <si>
    <t xml:space="preserve">Component scores (0-1)</t>
  </si>
  <si>
    <t xml:space="preserve">Weighted contribution</t>
  </si>
  <si>
    <t xml:space="preserve">Result</t>
  </si>
  <si>
    <t xml:space="preserve">Vs dashboard / Lambda</t>
  </si>
  <si>
    <t xml:space="preserve">Row label (unique - used by the Trace tab)</t>
  </si>
  <si>
    <t xml:space="preserve">Queue</t>
  </si>
  <si>
    <t xml:space="preserve">Instance</t>
  </si>
  <si>
    <t xml:space="preserve">Data source</t>
  </si>
  <si>
    <t xml:space="preserve">Data age (s)</t>
  </si>
  <si>
    <t xml:space="preserve">Contacts waiting</t>
  </si>
  <si>
    <t xml:space="preserve">Oldest wait (s)</t>
  </si>
  <si>
    <t xml:space="preserve">Agents staffed</t>
  </si>
  <si>
    <t xml:space="preserve">Data status</t>
  </si>
  <si>
    <t xml:space="preserve">Oldest age</t>
  </si>
  <si>
    <t xml:space="preserve">Agent shortage</t>
  </si>
  <si>
    <t xml:space="preserve">Depth x weight</t>
  </si>
  <si>
    <t xml:space="preserve">Age x weight</t>
  </si>
  <si>
    <t xml:space="preserve">Shortage x weight</t>
  </si>
  <si>
    <t xml:space="preserve">Workload x weight</t>
  </si>
  <si>
    <t xml:space="preserve">Weighted total (0-1)</t>
  </si>
  <si>
    <t xml:space="preserve">Pressure score (0-100)</t>
  </si>
  <si>
    <t xml:space="preserve">Value shown</t>
  </si>
  <si>
    <t xml:space="preserve">Difference</t>
  </si>
  <si>
    <t xml:space="preserve">The_Scouts_Association_Tel [real Lambda result]</t>
  </si>
  <si>
    <t xml:space="preserve">The_Scouts_Association_Tel</t>
  </si>
  <si>
    <t xml:space="preserve">macp-uk-buro-dev-connect-1</t>
  </si>
  <si>
    <t xml:space="preserve">Real Lambda result</t>
  </si>
  <si>
    <t xml:space="preserve">Carers_UK_Tel [dashboard screen 1]</t>
  </si>
  <si>
    <t xml:space="preserve">Carers_UK_Tel</t>
  </si>
  <si>
    <t xml:space="preserve">Dashboard screen 1</t>
  </si>
  <si>
    <t xml:space="preserve">Gamstop_Betting_Shops_Tel [dashboard screen 1]</t>
  </si>
  <si>
    <t xml:space="preserve">Gamstop_Betting_Shops_Tel</t>
  </si>
  <si>
    <t xml:space="preserve">macp-uk-gams-dev-connect-1</t>
  </si>
  <si>
    <t xml:space="preserve">NSPCC_Tel [dashboard screen 1]</t>
  </si>
  <si>
    <t xml:space="preserve">NSPCC_Tel</t>
  </si>
  <si>
    <t xml:space="preserve">Kings_Trust_Anything_Else [dashboard screen 1]</t>
  </si>
  <si>
    <t xml:space="preserve">Kings_Trust_Anything_Else</t>
  </si>
  <si>
    <t xml:space="preserve">macp-uk-kt-dev-connect-1</t>
  </si>
  <si>
    <t xml:space="preserve">Employee_Support_Hub_Plus_Tel [dashboard screen 1]</t>
  </si>
  <si>
    <t xml:space="preserve">Employee_Support_Hub_Plus_Tel</t>
  </si>
  <si>
    <t xml:space="preserve">macp-uk-mind-dev-connect-1</t>
  </si>
  <si>
    <t xml:space="preserve">Empathy_Tel [dashboard screen 1]</t>
  </si>
  <si>
    <t xml:space="preserve">Empathy_Tel</t>
  </si>
  <si>
    <t xml:space="preserve">BBC_Tel [dashboard screen 1]</t>
  </si>
  <si>
    <t xml:space="preserve">BBC_Tel</t>
  </si>
  <si>
    <t xml:space="preserve">Amica_Tel [dashboard screen 1]</t>
  </si>
  <si>
    <t xml:space="preserve">Amica_Tel</t>
  </si>
  <si>
    <t xml:space="preserve">Gamstop_Online_Update_Current_Exclusion_Tel [dashboard screen 1]</t>
  </si>
  <si>
    <t xml:space="preserve">Gamstop_Online_Update_Current_Exclusion_Tel</t>
  </si>
  <si>
    <t xml:space="preserve">Dashboard screen 2</t>
  </si>
  <si>
    <t xml:space="preserve">Employee_Support_Hub_Plus_Tel [dashboard screen 2]</t>
  </si>
  <si>
    <t xml:space="preserve">Gamstop_Betting_Shops_Tel [dashboard screen 2]</t>
  </si>
  <si>
    <t xml:space="preserve">Empathy_Tel [dashboard screen 2]</t>
  </si>
  <si>
    <t xml:space="preserve">Carers_UK_Tel [dashboard screen 2]</t>
  </si>
  <si>
    <t xml:space="preserve">Gamstop_Online_Update_Current_Exclusion_Tel [dashboard screen 2]</t>
  </si>
  <si>
    <t xml:space="preserve">Scenario A - quiet queue [illustrative]</t>
  </si>
  <si>
    <t xml:space="preserve">Scenario A - quiet queue</t>
  </si>
  <si>
    <t xml:space="preserve">Illustrative</t>
  </si>
  <si>
    <t xml:space="preserve">Scenario B - one long wait, no cover [illustrative]</t>
  </si>
  <si>
    <t xml:space="preserve">Scenario B - one long wait, no cover</t>
  </si>
  <si>
    <t xml:space="preserve">Scenario C - busy but well covered [illustrative]</t>
  </si>
  <si>
    <t xml:space="preserve">Scenario C - busy but well covered</t>
  </si>
  <si>
    <t xml:space="preserve">Scenario D - short waits, short-staffed [illustrative]</t>
  </si>
  <si>
    <t xml:space="preserve">Scenario D - short waits, short-staffed</t>
  </si>
  <si>
    <t xml:space="preserve">Scenario E - building steadily [illustrative]</t>
  </si>
  <si>
    <t xml:space="preserve">Scenario E - building steadily</t>
  </si>
  <si>
    <t xml:space="preserve">Scenario F - everything at its limit [illustrative]</t>
  </si>
  <si>
    <t xml:space="preserve">Scenario F - everything at its limit</t>
  </si>
  <si>
    <t xml:space="preserve">Scenario G - stale data [illustrative]</t>
  </si>
  <si>
    <t xml:space="preserve">Scenario G - stale data</t>
  </si>
  <si>
    <t xml:space="preserve">Dashboard rows that tie to this calculation</t>
  </si>
  <si>
    <t xml:space="preserve">Dashboard rows that differ</t>
  </si>
  <si>
    <t xml:space="preserve">Real Lambda result ties</t>
  </si>
  <si>
    <t xml:space="preserve">Reading the comparison: the calculation ties on the dashboard rows where every signal is at its limit, and differs on the rest (the dashboard shows lower scores). That suggests the dashboard's Sample data source uses its own thresholds, weights or generator rather than these defaults. Check with the dashboard's owner before that screen is presented as 'the calculation' (Open Items #2). The real Lambda result (The_Scouts_Association_Tel = 61.83) is reproduced exactly.</t>
  </si>
  <si>
    <t xml:space="preserve">Illustrative rows (Scenario A-G) were made up to show how the score behaves: e.g. Scenario B shows a single very old contact with no cover scoring MEDIUM even though volume is one - the same pattern as The_Scouts_Association_Tel.</t>
  </si>
  <si>
    <t xml:space="preserve">Assumptions &amp; Open Items - where every number came from, and what is not yet settled</t>
  </si>
  <si>
    <t xml:space="preserve">Status key:  Default = original system default, never reviewed by the business  |  Verified = reproduced against real system output  |  Inferred = deduced from observed results  |  Reading = taken from a photograph</t>
  </si>
  <si>
    <t xml:space="preserve">1. Sources for every hard-coded value</t>
  </si>
  <si>
    <t xml:space="preserve">#</t>
  </si>
  <si>
    <t xml:space="preserve">Item</t>
  </si>
  <si>
    <t xml:space="preserve">Source</t>
  </si>
  <si>
    <t xml:space="preserve">Where used</t>
  </si>
  <si>
    <t xml:space="preserve">Weights: depth / age / shortage / workload</t>
  </si>
  <si>
    <t xml:space="preserve">0.35 / 0.35 / 0.20 / 0.10</t>
  </si>
  <si>
    <t xml:space="preserve">Original starting configuration file supplied at the start of the project (demand_config_example.json). Never validated with the business.</t>
  </si>
  <si>
    <t xml:space="preserve">Demand Framework</t>
  </si>
  <si>
    <t xml:space="preserve">Default</t>
  </si>
  <si>
    <t xml:space="preserve">Thresholds: contacts / seconds / workload seconds</t>
  </si>
  <si>
    <t xml:space="preserve">10 / 300 / 1800</t>
  </si>
  <si>
    <t xml:space="preserve">Same configuration file.</t>
  </si>
  <si>
    <t xml:space="preserve">Default handle time</t>
  </si>
  <si>
    <t xml:space="preserve">600 seconds</t>
  </si>
  <si>
    <t xml:space="preserve">Same file. Used because handle-time data only refreshes once a day.</t>
  </si>
  <si>
    <t xml:space="preserve">180 seconds</t>
  </si>
  <si>
    <t xml:space="preserve">Same file.</t>
  </si>
  <si>
    <t xml:space="preserve">Pressure bands</t>
  </si>
  <si>
    <t xml:space="preserve">0 / 25 / 50 / 75 / 90</t>
  </si>
  <si>
    <t xml:space="preserve">Same file. The dashboard labels bands differently.</t>
  </si>
  <si>
    <t xml:space="preserve">Queue-depth and workload formulas</t>
  </si>
  <si>
    <t xml:space="preserve">Reproduce the component scores in a real Lambda result (depth 0.1, workload 0.3333).</t>
  </si>
  <si>
    <t xml:space="preserve">Verified</t>
  </si>
  <si>
    <t xml:space="preserve">Oldest-age formula</t>
  </si>
  <si>
    <t xml:space="preserve">Verified only where it is capped at 1.0; proportional below the cap is assumed.</t>
  </si>
  <si>
    <t xml:space="preserve">Inferred</t>
  </si>
  <si>
    <t xml:space="preserve">Agent-shortage formula</t>
  </si>
  <si>
    <t xml:space="preserve">1 - available / staffed</t>
  </si>
  <si>
    <t xml:space="preserve">Reproduces 0 of 0 and the 1-of-12 and 1-of-14 dashboard rows that tie. Not read from source code.</t>
  </si>
  <si>
    <t xml:space="preserve">Dashboard values</t>
  </si>
  <si>
    <t xml:space="preserve">see Calculator</t>
  </si>
  <si>
    <t xml:space="preserve">Read from photographs of the dashboard's Sample data source.</t>
  </si>
  <si>
    <t xml:space="preserve">Calculator</t>
  </si>
  <si>
    <t xml:space="preserve">Reading</t>
  </si>
  <si>
    <t xml:space="preserve">61.83</t>
  </si>
  <si>
    <t xml:space="preserve">Dry-run output for The_Scouts_Association_Tel: 1 contact, 415,122 s oldest, 0 of 0 agents.</t>
  </si>
  <si>
    <t xml:space="preserve">2. Open items - what needs a decision or a check</t>
  </si>
  <si>
    <t xml:space="preserve">Owner (suggested)</t>
  </si>
  <si>
    <t xml:space="preserve">Why it matters</t>
  </si>
  <si>
    <t xml:space="preserve">Where it shows</t>
  </si>
  <si>
    <t xml:space="preserve">Type</t>
  </si>
  <si>
    <t xml:space="preserve">Are the weights and thresholds right?</t>
  </si>
  <si>
    <t xml:space="preserve">Business / Gemma</t>
  </si>
  <si>
    <t xml:space="preserve">They are the original starting defaults and have never been reviewed against operational judgement, unlike the priority framework values.</t>
  </si>
  <si>
    <t xml:space="preserve">Demand Framework, section 2</t>
  </si>
  <si>
    <t xml:space="preserve">Decision</t>
  </si>
  <si>
    <t xml:space="preserve">The dashboard's Sample data does not tie to these formulas</t>
  </si>
  <si>
    <t xml:space="preserve">Dashboard owner</t>
  </si>
  <si>
    <t xml:space="preserve">Only some of the visible dashboard rows reproduce (see Calculator). Sample mode seems to use its own thresholds, weights or generator.</t>
  </si>
  <si>
    <t xml:space="preserve">Calculator, columns V-X</t>
  </si>
  <si>
    <t xml:space="preserve">Check</t>
  </si>
  <si>
    <t xml:space="preserve">Band names and cut-offs differ between the calculation and the dashboard</t>
  </si>
  <si>
    <t xml:space="preserve">Andrew / dashboard owner</t>
  </si>
  <si>
    <t xml:space="preserve">Calculation: Normal, Low, Medium, High, Critical (0/25/50/75/90). Dashboard: Normal, Elevated, High, Critical. The same score would carry different labels.</t>
  </si>
  <si>
    <t xml:space="preserve">Demand Framework, bands</t>
  </si>
  <si>
    <t xml:space="preserve">Verify the formulas against the Lambda source code</t>
  </si>
  <si>
    <t xml:space="preserve">Engineering</t>
  </si>
  <si>
    <t xml:space="preserve">The age formula below its cap and the shortage formula for partial availability are assumed from limited real results.</t>
  </si>
  <si>
    <t xml:space="preserve">How often does the calculation run?</t>
  </si>
  <si>
    <t xml:space="preserve">The design asks for a timely score, but the schedule trigger has not been confirmed.</t>
  </si>
  <si>
    <t xml:space="preserve">Demand Framework, section 1</t>
  </si>
  <si>
    <t xml:space="preserve">No smoothing: a single spike changes the score immediately</t>
  </si>
  <si>
    <t xml:space="preserve">Andrew / business</t>
  </si>
  <si>
    <t xml:space="preserve">The design (6.5) asks for stability; today each run is a snapshot with no memory of the previous run.</t>
  </si>
  <si>
    <t xml:space="preserve">Demand Framework, sections 1 and 5</t>
  </si>
  <si>
    <t xml:space="preserve">Not built</t>
  </si>
  <si>
    <t xml:space="preserve">Nine further signals are calculated but switched off</t>
  </si>
  <si>
    <t xml:space="preserve">Business</t>
  </si>
  <si>
    <t xml:space="preserve">Abandonment, live handle time, staffing deficit and others exist in code at weight 0. Switching any on needs a business view and reliable, fresher data.</t>
  </si>
  <si>
    <t xml:space="preserve">Demand Framework, section 4</t>
  </si>
  <si>
    <t xml:space="preserve">Inputs in the design document that are not built</t>
  </si>
  <si>
    <t xml:space="preserve">Andrew</t>
  </si>
  <si>
    <t xml:space="preserve">Expected near-term capacity, arrival rate and queue operating status have no equivalent in the calculation yet.</t>
  </si>
  <si>
    <t xml:space="preserve">Demand Framework, section 5</t>
  </si>
</sst>
</file>

<file path=xl/styles.xml><?xml version="1.0" encoding="utf-8"?>
<styleSheet xmlns="http://schemas.openxmlformats.org/spreadsheetml/2006/main">
  <numFmts count="6">
    <numFmt numFmtId="164" formatCode="General"/>
    <numFmt numFmtId="165" formatCode="0.00"/>
    <numFmt numFmtId="166" formatCode="#,##0"/>
    <numFmt numFmtId="167" formatCode="0.000"/>
    <numFmt numFmtId="168" formatCode="0.0000"/>
    <numFmt numFmtId="169" formatCode="0.0"/>
  </numFmts>
  <fonts count="22">
    <font>
      <sz val="11"/>
      <color theme="1"/>
      <name val="Calibri"/>
      <family val="2"/>
      <charset val="1"/>
    </font>
    <font>
      <sz val="10"/>
      <name val="Arial"/>
      <family val="0"/>
    </font>
    <font>
      <sz val="10"/>
      <name val="Arial"/>
      <family val="0"/>
    </font>
    <font>
      <sz val="10"/>
      <name val="Arial"/>
      <family val="0"/>
    </font>
    <font>
      <b val="true"/>
      <sz val="16"/>
      <color rgb="FF1F4E5F"/>
      <name val="Arial"/>
      <family val="0"/>
      <charset val="1"/>
    </font>
    <font>
      <i val="true"/>
      <sz val="10"/>
      <color rgb="FF595959"/>
      <name val="Arial"/>
      <family val="0"/>
      <charset val="1"/>
    </font>
    <font>
      <i val="true"/>
      <sz val="9"/>
      <color rgb="FF404040"/>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sz val="9"/>
      <color rgb="FF000000"/>
      <name val="Arial"/>
      <family val="0"/>
      <charset val="1"/>
    </font>
    <font>
      <b val="true"/>
      <sz val="10"/>
      <color rgb="FF0000FF"/>
      <name val="Arial"/>
      <family val="0"/>
      <charset val="1"/>
    </font>
    <font>
      <i val="true"/>
      <sz val="9"/>
      <color rgb="FF000000"/>
      <name val="Arial"/>
      <family val="0"/>
      <charset val="1"/>
    </font>
    <font>
      <sz val="8"/>
      <color rgb="FF808080"/>
      <name val="Arial"/>
      <family val="0"/>
      <charset val="1"/>
    </font>
    <font>
      <i val="true"/>
      <sz val="8"/>
      <color rgb="FF808080"/>
      <name val="Arial"/>
      <family val="0"/>
      <charset val="1"/>
    </font>
    <font>
      <b val="true"/>
      <sz val="10"/>
      <color rgb="FFFFFFFF"/>
      <name val="Arial"/>
      <family val="0"/>
      <charset val="1"/>
    </font>
    <font>
      <sz val="9"/>
      <color rgb="FF595959"/>
      <name val="Arial"/>
      <family val="0"/>
      <charset val="1"/>
    </font>
    <font>
      <i val="true"/>
      <sz val="10"/>
      <color rgb="FF000000"/>
      <name val="Arial"/>
      <family val="0"/>
      <charset val="1"/>
    </font>
    <font>
      <sz val="10"/>
      <color rgb="FF008000"/>
      <name val="Arial"/>
      <family val="0"/>
      <charset val="1"/>
    </font>
    <font>
      <b val="true"/>
      <sz val="10"/>
      <color rgb="FF008000"/>
      <name val="Arial"/>
      <family val="0"/>
      <charset val="1"/>
    </font>
    <font>
      <sz val="9"/>
      <color rgb="FF404040"/>
      <name val="Arial"/>
      <family val="0"/>
      <charset val="1"/>
    </font>
  </fonts>
  <fills count="10">
    <fill>
      <patternFill patternType="none"/>
    </fill>
    <fill>
      <patternFill patternType="gray125"/>
    </fill>
    <fill>
      <patternFill patternType="solid">
        <fgColor rgb="FF1F4E5F"/>
        <bgColor rgb="FF404040"/>
      </patternFill>
    </fill>
    <fill>
      <patternFill patternType="solid">
        <fgColor rgb="FFD9E1E2"/>
        <bgColor rgb="FFD9D9D9"/>
      </patternFill>
    </fill>
    <fill>
      <patternFill patternType="solid">
        <fgColor rgb="FFE2F0D9"/>
        <bgColor rgb="FFF2F2F2"/>
      </patternFill>
    </fill>
    <fill>
      <patternFill patternType="solid">
        <fgColor rgb="FFFFE699"/>
        <bgColor rgb="FFF8CBAD"/>
      </patternFill>
    </fill>
    <fill>
      <patternFill patternType="solid">
        <fgColor rgb="FFF2F2F2"/>
        <bgColor rgb="FFE2F0D9"/>
      </patternFill>
    </fill>
    <fill>
      <patternFill patternType="solid">
        <fgColor rgb="FFE4DFEC"/>
        <bgColor rgb="FFD9E1E2"/>
      </patternFill>
    </fill>
    <fill>
      <patternFill patternType="solid">
        <fgColor rgb="FF5B7C8D"/>
        <bgColor rgb="FF7F7F7F"/>
      </patternFill>
    </fill>
    <fill>
      <patternFill patternType="solid">
        <fgColor rgb="FFFFFF00"/>
        <bgColor rgb="FFFFFF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3" fillId="0" borderId="2"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left" vertical="center" textRotation="0" wrapText="false" indent="0" shrinkToFit="false"/>
      <protection locked="true" hidden="false"/>
    </xf>
    <xf numFmtId="164" fontId="16" fillId="8" borderId="0" xfId="0" applyFont="true" applyBorder="true" applyAlignment="true" applyProtection="false">
      <alignment horizontal="general"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6" fontId="8" fillId="7"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5" fontId="8" fillId="9"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8" fillId="7" borderId="0" xfId="0" applyFont="true" applyBorder="true" applyAlignment="true" applyProtection="false">
      <alignment horizontal="center" vertical="bottom" textRotation="0" wrapText="false" indent="0" shrinkToFit="false"/>
      <protection locked="true" hidden="false"/>
    </xf>
    <xf numFmtId="164" fontId="8" fillId="3" borderId="0" xfId="0" applyFont="true" applyBorder="true" applyAlignment="true" applyProtection="false">
      <alignment horizontal="center" vertical="bottom" textRotation="0" wrapText="false" indent="0" shrinkToFit="false"/>
      <protection locked="true" hidden="false"/>
    </xf>
    <xf numFmtId="164" fontId="8" fillId="9" borderId="0"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left" vertical="center" textRotation="0" wrapText="false" indent="0" shrinkToFit="false"/>
      <protection locked="true" hidden="false"/>
    </xf>
    <xf numFmtId="166" fontId="10" fillId="7"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7" fontId="19"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5" fontId="20" fillId="9"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64" fontId="21" fillId="5"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F4B6B6"/>
        </patternFill>
      </fill>
    </dxf>
    <dxf>
      <fill>
        <patternFill>
          <bgColor rgb="FFF8CBAD"/>
        </patternFill>
      </fill>
    </dxf>
    <dxf>
      <fill>
        <patternFill>
          <bgColor rgb="FFFFE699"/>
        </patternFill>
      </fill>
    </dxf>
    <dxf>
      <fill>
        <patternFill>
          <bgColor rgb="FFE2F0D9"/>
        </patternFill>
      </fill>
    </dxf>
    <dxf>
      <fill>
        <patternFill>
          <bgColor rgb="FFC6E0B4"/>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9E1E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DFEC"/>
      <rgbColor rgb="FFE2F0D9"/>
      <rgbColor rgb="FFFFE699"/>
      <rgbColor rgb="FFC6E0B4"/>
      <rgbColor rgb="FFF4B6B6"/>
      <rgbColor rgb="FFCC99FF"/>
      <rgbColor rgb="FFF8CBAD"/>
      <rgbColor rgb="FF3366FF"/>
      <rgbColor rgb="FF33CCCC"/>
      <rgbColor rgb="FF99CC00"/>
      <rgbColor rgb="FFFFCC00"/>
      <rgbColor rgb="FFFF9900"/>
      <rgbColor rgb="FFFF6600"/>
      <rgbColor rgb="FF5B7C8D"/>
      <rgbColor rgb="FF7F7F7F"/>
      <rgbColor rgb="FF1F4E5F"/>
      <rgbColor rgb="FF70AD47"/>
      <rgbColor rgb="FF003300"/>
      <rgbColor rgb="FF333300"/>
      <rgbColor rgb="FF993300"/>
      <rgbColor rgb="FF993366"/>
      <rgbColor rgb="FF59595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true"/>
  </sheetPr>
  <dimension ref="A1:G6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3" min="3" style="0" width="18"/>
    <col collapsed="false" customWidth="true" hidden="false" outlineLevel="0" max="4" min="4" style="0" width="14"/>
    <col collapsed="false" customWidth="true" hidden="false" outlineLevel="0" max="5" min="5" style="0" width="12"/>
    <col collapsed="false" customWidth="true" hidden="false" outlineLevel="0" max="6" min="6" style="0" width="40"/>
    <col collapsed="false" customWidth="true" hidden="false" outlineLevel="0" max="7" min="7" style="0" width="52"/>
  </cols>
  <sheetData>
    <row r="1" customFormat="false" ht="24" hidden="false" customHeight="true" outlineLevel="0" collapsed="false">
      <c r="A1" s="1" t="s">
        <v>0</v>
      </c>
    </row>
    <row r="2" customFormat="false" ht="30" hidden="false" customHeight="true" outlineLevel="0" collapsed="false">
      <c r="A2" s="2" t="s">
        <v>1</v>
      </c>
      <c r="B2" s="2"/>
      <c r="C2" s="2"/>
      <c r="D2" s="2"/>
      <c r="E2" s="2"/>
      <c r="F2" s="2"/>
      <c r="G2" s="2"/>
    </row>
    <row r="3" customFormat="false" ht="28.5" hidden="false" customHeight="true" outlineLevel="0" collapsed="false">
      <c r="A3" s="3" t="s">
        <v>2</v>
      </c>
      <c r="B3" s="3"/>
      <c r="C3" s="3"/>
      <c r="D3" s="3"/>
      <c r="E3" s="3"/>
      <c r="F3" s="3"/>
      <c r="G3" s="3"/>
    </row>
    <row r="5" customFormat="false" ht="19.5" hidden="false" customHeight="true" outlineLevel="0" collapsed="false">
      <c r="A5" s="4" t="s">
        <v>3</v>
      </c>
      <c r="B5" s="4"/>
      <c r="C5" s="4"/>
      <c r="D5" s="4"/>
      <c r="E5" s="4"/>
      <c r="F5" s="4"/>
      <c r="G5" s="4"/>
    </row>
    <row r="6" customFormat="false" ht="19.5" hidden="false" customHeight="true" outlineLevel="0" collapsed="false">
      <c r="A6" s="5" t="s">
        <v>4</v>
      </c>
      <c r="B6" s="5" t="s">
        <v>5</v>
      </c>
      <c r="C6" s="5" t="s">
        <v>6</v>
      </c>
      <c r="D6" s="5"/>
      <c r="E6" s="5"/>
      <c r="F6" s="5"/>
      <c r="G6" s="5"/>
    </row>
    <row r="7" customFormat="false" ht="27.75" hidden="false" customHeight="true" outlineLevel="0" collapsed="false">
      <c r="A7" s="6" t="s">
        <v>7</v>
      </c>
      <c r="B7" s="7" t="s">
        <v>8</v>
      </c>
      <c r="C7" s="8" t="s">
        <v>9</v>
      </c>
      <c r="D7" s="8"/>
      <c r="E7" s="8"/>
      <c r="F7" s="8"/>
      <c r="G7" s="8"/>
    </row>
    <row r="8" customFormat="false" ht="27.75" hidden="false" customHeight="true" outlineLevel="0" collapsed="false">
      <c r="A8" s="6" t="s">
        <v>10</v>
      </c>
      <c r="B8" s="7" t="s">
        <v>11</v>
      </c>
      <c r="C8" s="8" t="s">
        <v>12</v>
      </c>
      <c r="D8" s="8"/>
      <c r="E8" s="8"/>
      <c r="F8" s="8"/>
      <c r="G8" s="8"/>
    </row>
    <row r="9" customFormat="false" ht="27.75" hidden="false" customHeight="true" outlineLevel="0" collapsed="false">
      <c r="A9" s="6" t="s">
        <v>13</v>
      </c>
      <c r="B9" s="7" t="s">
        <v>14</v>
      </c>
      <c r="C9" s="8" t="s">
        <v>15</v>
      </c>
      <c r="D9" s="8"/>
      <c r="E9" s="8"/>
      <c r="F9" s="8"/>
      <c r="G9" s="8"/>
    </row>
    <row r="10" customFormat="false" ht="27.75" hidden="false" customHeight="true" outlineLevel="0" collapsed="false">
      <c r="A10" s="6" t="s">
        <v>16</v>
      </c>
      <c r="B10" s="7" t="s">
        <v>17</v>
      </c>
      <c r="C10" s="8" t="s">
        <v>18</v>
      </c>
      <c r="D10" s="8"/>
      <c r="E10" s="8"/>
      <c r="F10" s="8"/>
      <c r="G10" s="8"/>
    </row>
    <row r="11" customFormat="false" ht="27.75" hidden="false" customHeight="true" outlineLevel="0" collapsed="false">
      <c r="A11" s="6" t="s">
        <v>19</v>
      </c>
      <c r="B11" s="7" t="s">
        <v>20</v>
      </c>
      <c r="C11" s="9" t="s">
        <v>21</v>
      </c>
      <c r="D11" s="9"/>
      <c r="E11" s="9"/>
      <c r="F11" s="9"/>
      <c r="G11" s="9"/>
    </row>
    <row r="12" customFormat="false" ht="27.75" hidden="false" customHeight="true" outlineLevel="0" collapsed="false">
      <c r="A12" s="6" t="s">
        <v>22</v>
      </c>
      <c r="B12" s="7" t="s">
        <v>23</v>
      </c>
      <c r="C12" s="9" t="s">
        <v>24</v>
      </c>
      <c r="D12" s="9"/>
      <c r="E12" s="9"/>
      <c r="F12" s="9"/>
      <c r="G12" s="9"/>
    </row>
    <row r="14" customFormat="false" ht="19.5" hidden="false" customHeight="true" outlineLevel="0" collapsed="false">
      <c r="A14" s="4" t="s">
        <v>25</v>
      </c>
      <c r="B14" s="4"/>
      <c r="C14" s="4"/>
      <c r="D14" s="4"/>
      <c r="E14" s="4"/>
      <c r="F14" s="4"/>
      <c r="G14" s="4"/>
    </row>
    <row r="15" customFormat="false" ht="43.5" hidden="false" customHeight="true" outlineLevel="0" collapsed="false">
      <c r="A15" s="5" t="s">
        <v>26</v>
      </c>
      <c r="B15" s="5" t="s">
        <v>27</v>
      </c>
      <c r="C15" s="5" t="s">
        <v>28</v>
      </c>
      <c r="D15" s="5" t="s">
        <v>29</v>
      </c>
      <c r="E15" s="5" t="s">
        <v>30</v>
      </c>
      <c r="F15" s="5" t="s">
        <v>31</v>
      </c>
      <c r="G15" s="5" t="s">
        <v>32</v>
      </c>
    </row>
    <row r="16" customFormat="false" ht="39.75" hidden="false" customHeight="true" outlineLevel="0" collapsed="false">
      <c r="A16" s="10" t="s">
        <v>33</v>
      </c>
      <c r="B16" s="8" t="s">
        <v>34</v>
      </c>
      <c r="C16" s="11" t="n">
        <v>10</v>
      </c>
      <c r="D16" s="12" t="s">
        <v>35</v>
      </c>
      <c r="E16" s="13" t="n">
        <v>0.35</v>
      </c>
      <c r="F16" s="7" t="s">
        <v>36</v>
      </c>
      <c r="G16" s="14" t="s">
        <v>37</v>
      </c>
    </row>
    <row r="17" customFormat="false" ht="39.75" hidden="false" customHeight="true" outlineLevel="0" collapsed="false">
      <c r="A17" s="10" t="s">
        <v>38</v>
      </c>
      <c r="B17" s="8" t="s">
        <v>39</v>
      </c>
      <c r="C17" s="11" t="n">
        <v>300</v>
      </c>
      <c r="D17" s="12" t="s">
        <v>40</v>
      </c>
      <c r="E17" s="13" t="n">
        <v>0.35</v>
      </c>
      <c r="F17" s="7" t="s">
        <v>41</v>
      </c>
      <c r="G17" s="14" t="s">
        <v>42</v>
      </c>
    </row>
    <row r="18" customFormat="false" ht="39.75" hidden="false" customHeight="true" outlineLevel="0" collapsed="false">
      <c r="A18" s="10" t="s">
        <v>43</v>
      </c>
      <c r="B18" s="8" t="s">
        <v>44</v>
      </c>
      <c r="C18" s="11" t="s">
        <v>45</v>
      </c>
      <c r="D18" s="12" t="s">
        <v>46</v>
      </c>
      <c r="E18" s="13" t="n">
        <v>0.2</v>
      </c>
      <c r="F18" s="7" t="s">
        <v>47</v>
      </c>
      <c r="G18" s="14" t="s">
        <v>48</v>
      </c>
    </row>
    <row r="19" customFormat="false" ht="39.75" hidden="false" customHeight="true" outlineLevel="0" collapsed="false">
      <c r="A19" s="10" t="s">
        <v>49</v>
      </c>
      <c r="B19" s="8" t="s">
        <v>50</v>
      </c>
      <c r="C19" s="11" t="n">
        <v>1800</v>
      </c>
      <c r="D19" s="12" t="s">
        <v>51</v>
      </c>
      <c r="E19" s="13" t="n">
        <v>0.1</v>
      </c>
      <c r="F19" s="7" t="s">
        <v>52</v>
      </c>
      <c r="G19" s="14" t="s">
        <v>53</v>
      </c>
    </row>
    <row r="20" customFormat="false" ht="15" hidden="false" customHeight="false" outlineLevel="0" collapsed="false">
      <c r="A20" s="15" t="s">
        <v>54</v>
      </c>
      <c r="B20" s="16"/>
      <c r="C20" s="16"/>
      <c r="D20" s="16"/>
      <c r="E20" s="17" t="n">
        <f aca="false">SUM(E16:E19)</f>
        <v>1</v>
      </c>
      <c r="F20" s="15" t="str">
        <f aca="false">IF(ROUND(E20,4)=1,"OK - weights total 1.00","CHECK - weights do not total 1.00")</f>
        <v>OK - weights total 1.00</v>
      </c>
      <c r="G20" s="16"/>
    </row>
    <row r="22" customFormat="false" ht="19.5" hidden="false" customHeight="true" outlineLevel="0" collapsed="false">
      <c r="A22" s="5" t="s">
        <v>55</v>
      </c>
      <c r="B22" s="5" t="s">
        <v>56</v>
      </c>
      <c r="C22" s="5" t="s">
        <v>57</v>
      </c>
      <c r="D22" s="5" t="s">
        <v>29</v>
      </c>
    </row>
    <row r="23" customFormat="false" ht="27.75" hidden="false" customHeight="true" outlineLevel="0" collapsed="false">
      <c r="A23" s="10" t="s">
        <v>58</v>
      </c>
      <c r="B23" s="8" t="s">
        <v>59</v>
      </c>
      <c r="C23" s="11" t="n">
        <v>600</v>
      </c>
      <c r="D23" s="18" t="s">
        <v>40</v>
      </c>
    </row>
    <row r="24" customFormat="false" ht="27.75" hidden="false" customHeight="true" outlineLevel="0" collapsed="false">
      <c r="A24" s="10" t="s">
        <v>60</v>
      </c>
      <c r="B24" s="8" t="s">
        <v>61</v>
      </c>
      <c r="C24" s="11" t="n">
        <v>180</v>
      </c>
      <c r="D24" s="18" t="s">
        <v>40</v>
      </c>
    </row>
    <row r="25" customFormat="false" ht="27.75" hidden="false" customHeight="true" outlineLevel="0" collapsed="false">
      <c r="A25" s="10" t="s">
        <v>62</v>
      </c>
      <c r="B25" s="8" t="s">
        <v>63</v>
      </c>
      <c r="C25" s="11" t="n">
        <v>100</v>
      </c>
      <c r="D25" s="18" t="s">
        <v>64</v>
      </c>
    </row>
    <row r="27" customFormat="false" ht="19.5" hidden="false" customHeight="true" outlineLevel="0" collapsed="false">
      <c r="A27" s="5" t="s">
        <v>65</v>
      </c>
      <c r="B27" s="5" t="s">
        <v>66</v>
      </c>
      <c r="C27" s="5" t="s">
        <v>67</v>
      </c>
    </row>
    <row r="28" customFormat="false" ht="15" hidden="false" customHeight="false" outlineLevel="0" collapsed="false">
      <c r="A28" s="10" t="s">
        <v>68</v>
      </c>
      <c r="B28" s="19" t="s">
        <v>69</v>
      </c>
      <c r="C28" s="11" t="n">
        <v>0</v>
      </c>
    </row>
    <row r="29" customFormat="false" ht="15" hidden="false" customHeight="false" outlineLevel="0" collapsed="false">
      <c r="A29" s="10" t="s">
        <v>70</v>
      </c>
      <c r="B29" s="19" t="s">
        <v>71</v>
      </c>
      <c r="C29" s="11" t="n">
        <v>25</v>
      </c>
    </row>
    <row r="30" customFormat="false" ht="15" hidden="false" customHeight="false" outlineLevel="0" collapsed="false">
      <c r="A30" s="10" t="s">
        <v>72</v>
      </c>
      <c r="B30" s="19" t="s">
        <v>73</v>
      </c>
      <c r="C30" s="11" t="n">
        <v>50</v>
      </c>
    </row>
    <row r="31" customFormat="false" ht="15" hidden="false" customHeight="false" outlineLevel="0" collapsed="false">
      <c r="A31" s="10" t="s">
        <v>74</v>
      </c>
      <c r="B31" s="19" t="s">
        <v>75</v>
      </c>
      <c r="C31" s="11" t="n">
        <v>75</v>
      </c>
    </row>
    <row r="32" customFormat="false" ht="15" hidden="false" customHeight="false" outlineLevel="0" collapsed="false">
      <c r="A32" s="10" t="s">
        <v>76</v>
      </c>
      <c r="B32" s="19" t="s">
        <v>77</v>
      </c>
      <c r="C32" s="11" t="n">
        <v>90</v>
      </c>
    </row>
    <row r="33" customFormat="false" ht="15.75" hidden="false" customHeight="true" outlineLevel="0" collapsed="false">
      <c r="A33" s="3" t="s">
        <v>78</v>
      </c>
      <c r="B33" s="3"/>
      <c r="C33" s="3"/>
      <c r="D33" s="3"/>
      <c r="E33" s="3"/>
      <c r="F33" s="3"/>
      <c r="G33" s="3"/>
    </row>
    <row r="35" customFormat="false" ht="19.5" hidden="false" customHeight="true" outlineLevel="0" collapsed="false">
      <c r="A35" s="4" t="s">
        <v>79</v>
      </c>
      <c r="B35" s="4"/>
      <c r="C35" s="4"/>
      <c r="D35" s="4"/>
      <c r="E35" s="4"/>
      <c r="F35" s="4"/>
      <c r="G35" s="4"/>
    </row>
    <row r="36" customFormat="false" ht="15.75" hidden="false" customHeight="true" outlineLevel="0" collapsed="false">
      <c r="A36" s="20" t="s">
        <v>80</v>
      </c>
      <c r="B36" s="20"/>
      <c r="C36" s="20"/>
      <c r="D36" s="20"/>
      <c r="E36" s="20"/>
      <c r="F36" s="20"/>
      <c r="G36" s="20"/>
    </row>
    <row r="37" customFormat="false" ht="15.75" hidden="false" customHeight="true" outlineLevel="0" collapsed="false">
      <c r="A37" s="20" t="s">
        <v>81</v>
      </c>
      <c r="B37" s="20"/>
      <c r="C37" s="20"/>
      <c r="D37" s="20"/>
      <c r="E37" s="20"/>
      <c r="F37" s="20"/>
      <c r="G37" s="20"/>
    </row>
    <row r="38" customFormat="false" ht="15.75" hidden="false" customHeight="true" outlineLevel="0" collapsed="false">
      <c r="A38" s="20" t="s">
        <v>82</v>
      </c>
      <c r="B38" s="20"/>
      <c r="C38" s="20"/>
      <c r="D38" s="20"/>
      <c r="E38" s="20"/>
      <c r="F38" s="20"/>
      <c r="G38" s="20"/>
    </row>
    <row r="39" customFormat="false" ht="15.75" hidden="false" customHeight="true" outlineLevel="0" collapsed="false">
      <c r="A39" s="20" t="s">
        <v>83</v>
      </c>
      <c r="B39" s="20"/>
      <c r="C39" s="20"/>
      <c r="D39" s="20"/>
      <c r="E39" s="20"/>
      <c r="F39" s="20"/>
      <c r="G39" s="20"/>
    </row>
    <row r="40" customFormat="false" ht="15.75" hidden="false" customHeight="true" outlineLevel="0" collapsed="false">
      <c r="A40" s="20" t="s">
        <v>84</v>
      </c>
      <c r="B40" s="20"/>
      <c r="C40" s="20"/>
      <c r="D40" s="20"/>
      <c r="E40" s="20"/>
      <c r="F40" s="20"/>
      <c r="G40" s="20"/>
    </row>
    <row r="42" customFormat="false" ht="19.5" hidden="false" customHeight="true" outlineLevel="0" collapsed="false">
      <c r="A42" s="4" t="s">
        <v>85</v>
      </c>
      <c r="B42" s="4"/>
      <c r="C42" s="4"/>
      <c r="D42" s="4"/>
      <c r="E42" s="4"/>
      <c r="F42" s="4"/>
      <c r="G42" s="4"/>
    </row>
    <row r="43" customFormat="false" ht="19.5" hidden="false" customHeight="true" outlineLevel="0" collapsed="false">
      <c r="A43" s="5" t="s">
        <v>26</v>
      </c>
      <c r="B43" s="5" t="s">
        <v>56</v>
      </c>
      <c r="C43" s="5" t="s">
        <v>86</v>
      </c>
      <c r="D43" s="5" t="s">
        <v>30</v>
      </c>
    </row>
    <row r="44" customFormat="false" ht="22.35" hidden="false" customHeight="false" outlineLevel="0" collapsed="false">
      <c r="A44" s="16" t="s">
        <v>87</v>
      </c>
      <c r="B44" s="14" t="s">
        <v>88</v>
      </c>
      <c r="C44" s="21" t="n">
        <v>600</v>
      </c>
      <c r="D44" s="22" t="n">
        <v>0</v>
      </c>
    </row>
    <row r="45" customFormat="false" ht="22.35" hidden="false" customHeight="false" outlineLevel="0" collapsed="false">
      <c r="A45" s="16" t="s">
        <v>89</v>
      </c>
      <c r="B45" s="14" t="s">
        <v>88</v>
      </c>
      <c r="C45" s="21" t="n">
        <v>1</v>
      </c>
      <c r="D45" s="22" t="n">
        <v>0</v>
      </c>
    </row>
    <row r="46" customFormat="false" ht="22.35" hidden="false" customHeight="false" outlineLevel="0" collapsed="false">
      <c r="A46" s="16" t="s">
        <v>90</v>
      </c>
      <c r="B46" s="14" t="s">
        <v>88</v>
      </c>
      <c r="C46" s="21" t="n">
        <v>0.5</v>
      </c>
      <c r="D46" s="22" t="n">
        <v>0</v>
      </c>
    </row>
    <row r="47" customFormat="false" ht="22.35" hidden="false" customHeight="false" outlineLevel="0" collapsed="false">
      <c r="A47" s="16" t="s">
        <v>91</v>
      </c>
      <c r="B47" s="14" t="s">
        <v>88</v>
      </c>
      <c r="C47" s="21" t="n">
        <v>1</v>
      </c>
      <c r="D47" s="22" t="n">
        <v>0</v>
      </c>
    </row>
    <row r="48" customFormat="false" ht="22.35" hidden="false" customHeight="false" outlineLevel="0" collapsed="false">
      <c r="A48" s="16" t="s">
        <v>92</v>
      </c>
      <c r="B48" s="14" t="s">
        <v>88</v>
      </c>
      <c r="C48" s="21" t="n">
        <v>5</v>
      </c>
      <c r="D48" s="22" t="n">
        <v>0</v>
      </c>
    </row>
    <row r="49" customFormat="false" ht="22.35" hidden="false" customHeight="false" outlineLevel="0" collapsed="false">
      <c r="A49" s="16" t="s">
        <v>93</v>
      </c>
      <c r="B49" s="14" t="s">
        <v>88</v>
      </c>
      <c r="C49" s="21" t="n">
        <v>20</v>
      </c>
      <c r="D49" s="22" t="n">
        <v>0</v>
      </c>
    </row>
    <row r="50" customFormat="false" ht="22.35" hidden="false" customHeight="false" outlineLevel="0" collapsed="false">
      <c r="A50" s="16" t="s">
        <v>94</v>
      </c>
      <c r="B50" s="14" t="s">
        <v>88</v>
      </c>
      <c r="C50" s="21" t="n">
        <v>80</v>
      </c>
      <c r="D50" s="22" t="n">
        <v>0</v>
      </c>
    </row>
    <row r="51" customFormat="false" ht="22.35" hidden="false" customHeight="false" outlineLevel="0" collapsed="false">
      <c r="A51" s="16" t="s">
        <v>95</v>
      </c>
      <c r="B51" s="14" t="s">
        <v>88</v>
      </c>
      <c r="C51" s="21" t="n">
        <v>20</v>
      </c>
      <c r="D51" s="22" t="n">
        <v>0</v>
      </c>
    </row>
    <row r="52" customFormat="false" ht="22.35" hidden="false" customHeight="false" outlineLevel="0" collapsed="false">
      <c r="A52" s="16" t="s">
        <v>96</v>
      </c>
      <c r="B52" s="14" t="s">
        <v>88</v>
      </c>
      <c r="C52" s="21" t="n">
        <v>300</v>
      </c>
      <c r="D52" s="22" t="n">
        <v>0</v>
      </c>
    </row>
    <row r="54" customFormat="false" ht="19.5" hidden="false" customHeight="true" outlineLevel="0" collapsed="false">
      <c r="A54" s="4" t="s">
        <v>97</v>
      </c>
      <c r="B54" s="4"/>
      <c r="C54" s="4"/>
      <c r="D54" s="4"/>
      <c r="E54" s="4"/>
      <c r="F54" s="4"/>
      <c r="G54" s="4"/>
    </row>
    <row r="55" customFormat="false" ht="19.5" hidden="false" customHeight="true" outlineLevel="0" collapsed="false">
      <c r="A55" s="5" t="s">
        <v>98</v>
      </c>
      <c r="B55" s="5" t="s">
        <v>99</v>
      </c>
      <c r="C55" s="5" t="s">
        <v>6</v>
      </c>
      <c r="D55" s="5" t="s">
        <v>56</v>
      </c>
      <c r="E55" s="5"/>
      <c r="F55" s="5"/>
      <c r="G55" s="5"/>
    </row>
    <row r="56" customFormat="false" ht="27.75" hidden="false" customHeight="true" outlineLevel="0" collapsed="false">
      <c r="A56" s="6" t="s">
        <v>100</v>
      </c>
      <c r="B56" s="7" t="s">
        <v>33</v>
      </c>
      <c r="C56" s="23" t="s">
        <v>101</v>
      </c>
      <c r="D56" s="14"/>
      <c r="E56" s="14"/>
      <c r="F56" s="14"/>
      <c r="G56" s="14"/>
    </row>
    <row r="57" customFormat="false" ht="27.75" hidden="false" customHeight="true" outlineLevel="0" collapsed="false">
      <c r="A57" s="6" t="s">
        <v>102</v>
      </c>
      <c r="B57" s="7" t="s">
        <v>38</v>
      </c>
      <c r="C57" s="23" t="s">
        <v>101</v>
      </c>
      <c r="D57" s="14"/>
      <c r="E57" s="14"/>
      <c r="F57" s="14"/>
      <c r="G57" s="14"/>
    </row>
    <row r="58" customFormat="false" ht="27.75" hidden="false" customHeight="true" outlineLevel="0" collapsed="false">
      <c r="A58" s="6" t="s">
        <v>103</v>
      </c>
      <c r="B58" s="7" t="s">
        <v>104</v>
      </c>
      <c r="C58" s="24" t="s">
        <v>105</v>
      </c>
      <c r="D58" s="14" t="s">
        <v>106</v>
      </c>
      <c r="E58" s="14"/>
      <c r="F58" s="14"/>
      <c r="G58" s="14"/>
    </row>
    <row r="59" customFormat="false" ht="27.75" hidden="false" customHeight="true" outlineLevel="0" collapsed="false">
      <c r="A59" s="6" t="s">
        <v>107</v>
      </c>
      <c r="B59" s="7" t="s">
        <v>108</v>
      </c>
      <c r="C59" s="24" t="s">
        <v>105</v>
      </c>
      <c r="D59" s="14" t="s">
        <v>109</v>
      </c>
      <c r="E59" s="14"/>
      <c r="F59" s="14"/>
      <c r="G59" s="14"/>
    </row>
    <row r="60" customFormat="false" ht="27.75" hidden="false" customHeight="true" outlineLevel="0" collapsed="false">
      <c r="A60" s="6" t="s">
        <v>110</v>
      </c>
      <c r="B60" s="7" t="s">
        <v>111</v>
      </c>
      <c r="C60" s="23" t="s">
        <v>112</v>
      </c>
      <c r="D60" s="14" t="s">
        <v>113</v>
      </c>
      <c r="E60" s="14"/>
      <c r="F60" s="14"/>
      <c r="G60" s="14"/>
    </row>
    <row r="61" customFormat="false" ht="27.75" hidden="false" customHeight="true" outlineLevel="0" collapsed="false">
      <c r="A61" s="6" t="s">
        <v>114</v>
      </c>
      <c r="B61" s="7" t="s">
        <v>43</v>
      </c>
      <c r="C61" s="23" t="s">
        <v>101</v>
      </c>
      <c r="D61" s="14"/>
      <c r="E61" s="14"/>
      <c r="F61" s="14"/>
      <c r="G61" s="14"/>
    </row>
    <row r="62" customFormat="false" ht="27.75" hidden="false" customHeight="true" outlineLevel="0" collapsed="false">
      <c r="A62" s="6" t="s">
        <v>115</v>
      </c>
      <c r="B62" s="7" t="s">
        <v>116</v>
      </c>
      <c r="C62" s="24" t="s">
        <v>105</v>
      </c>
      <c r="D62" s="14"/>
      <c r="E62" s="14"/>
      <c r="F62" s="14"/>
      <c r="G62" s="14"/>
    </row>
    <row r="63" customFormat="false" ht="27.75" hidden="false" customHeight="true" outlineLevel="0" collapsed="false">
      <c r="A63" s="6" t="s">
        <v>117</v>
      </c>
      <c r="B63" s="7" t="s">
        <v>89</v>
      </c>
      <c r="C63" s="24" t="s">
        <v>105</v>
      </c>
      <c r="D63" s="14"/>
      <c r="E63" s="14"/>
      <c r="F63" s="14"/>
      <c r="G63" s="14"/>
    </row>
    <row r="64" customFormat="false" ht="27.75" hidden="false" customHeight="true" outlineLevel="0" collapsed="false">
      <c r="A64" s="6" t="s">
        <v>118</v>
      </c>
      <c r="B64" s="7" t="s">
        <v>119</v>
      </c>
      <c r="C64" s="25" t="s">
        <v>120</v>
      </c>
      <c r="D64" s="14"/>
      <c r="E64" s="14"/>
      <c r="F64" s="14"/>
      <c r="G64" s="14"/>
    </row>
    <row r="65" customFormat="false" ht="27.75" hidden="false" customHeight="true" outlineLevel="0" collapsed="false">
      <c r="A65" s="6" t="s">
        <v>121</v>
      </c>
      <c r="B65" s="7" t="s">
        <v>119</v>
      </c>
      <c r="C65" s="25" t="s">
        <v>120</v>
      </c>
      <c r="D65" s="14" t="s">
        <v>122</v>
      </c>
      <c r="E65" s="14"/>
      <c r="F65" s="14"/>
      <c r="G65" s="14"/>
    </row>
    <row r="66" customFormat="false" ht="27.75" hidden="false" customHeight="true" outlineLevel="0" collapsed="false">
      <c r="A66" s="6" t="s">
        <v>123</v>
      </c>
      <c r="B66" s="7" t="s">
        <v>119</v>
      </c>
      <c r="C66" s="24" t="s">
        <v>124</v>
      </c>
      <c r="D66" s="14" t="s">
        <v>125</v>
      </c>
      <c r="E66" s="14"/>
      <c r="F66" s="14"/>
      <c r="G66" s="14"/>
    </row>
    <row r="67" customFormat="false" ht="27.75" hidden="false" customHeight="true" outlineLevel="0" collapsed="false">
      <c r="A67" s="6" t="s">
        <v>126</v>
      </c>
      <c r="B67" s="7" t="s">
        <v>119</v>
      </c>
      <c r="C67" s="25" t="s">
        <v>120</v>
      </c>
      <c r="D67" s="14"/>
      <c r="E67" s="14"/>
      <c r="F67" s="14"/>
      <c r="G67" s="14"/>
    </row>
    <row r="68" customFormat="false" ht="27.75" hidden="false" customHeight="true" outlineLevel="0" collapsed="false">
      <c r="A68" s="6" t="s">
        <v>127</v>
      </c>
      <c r="B68" s="7" t="s">
        <v>119</v>
      </c>
      <c r="C68" s="25" t="s">
        <v>120</v>
      </c>
      <c r="D68" s="14" t="s">
        <v>128</v>
      </c>
      <c r="E68" s="14"/>
      <c r="F68" s="14"/>
      <c r="G68" s="14"/>
    </row>
  </sheetData>
  <mergeCells count="34">
    <mergeCell ref="A2:G2"/>
    <mergeCell ref="A3:G3"/>
    <mergeCell ref="A5:G5"/>
    <mergeCell ref="C6:G6"/>
    <mergeCell ref="C7:G7"/>
    <mergeCell ref="C8:G8"/>
    <mergeCell ref="C9:G9"/>
    <mergeCell ref="C10:G10"/>
    <mergeCell ref="C11:G11"/>
    <mergeCell ref="C12:G12"/>
    <mergeCell ref="A14:G14"/>
    <mergeCell ref="A33:G33"/>
    <mergeCell ref="A35:G35"/>
    <mergeCell ref="A36:G36"/>
    <mergeCell ref="A37:G37"/>
    <mergeCell ref="A38:G38"/>
    <mergeCell ref="A39:G39"/>
    <mergeCell ref="A40:G40"/>
    <mergeCell ref="A42:G42"/>
    <mergeCell ref="A54:G54"/>
    <mergeCell ref="D55:G55"/>
    <mergeCell ref="D56:G56"/>
    <mergeCell ref="D57:G57"/>
    <mergeCell ref="D58:G58"/>
    <mergeCell ref="D59:G59"/>
    <mergeCell ref="D60:G60"/>
    <mergeCell ref="D61:G61"/>
    <mergeCell ref="D62:G62"/>
    <mergeCell ref="D63:G63"/>
    <mergeCell ref="D64:G64"/>
    <mergeCell ref="D65:G65"/>
    <mergeCell ref="D66:G66"/>
    <mergeCell ref="D67:G67"/>
    <mergeCell ref="D68:G6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D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6"/>
    <col collapsed="false" customWidth="true" hidden="false" outlineLevel="0" max="3" min="3" style="0" width="20"/>
    <col collapsed="false" customWidth="true" hidden="false" outlineLevel="0" max="4" min="4" style="0" width="78"/>
  </cols>
  <sheetData>
    <row r="1" customFormat="false" ht="24" hidden="false" customHeight="true" outlineLevel="0" collapsed="false">
      <c r="A1" s="1" t="s">
        <v>129</v>
      </c>
    </row>
    <row r="2" customFormat="false" ht="30" hidden="false" customHeight="true" outlineLevel="0" collapsed="false">
      <c r="A2" s="2" t="s">
        <v>130</v>
      </c>
      <c r="B2" s="2"/>
      <c r="C2" s="2"/>
      <c r="D2" s="2"/>
    </row>
    <row r="4" customFormat="false" ht="19.5" hidden="false" customHeight="true" outlineLevel="0" collapsed="false">
      <c r="A4" s="4" t="s">
        <v>131</v>
      </c>
      <c r="B4" s="4"/>
      <c r="C4" s="4"/>
      <c r="D4" s="4"/>
    </row>
    <row r="5" customFormat="false" ht="31.5" hidden="false" customHeight="true" outlineLevel="0" collapsed="false">
      <c r="A5" s="26" t="s">
        <v>132</v>
      </c>
      <c r="B5" s="27" t="s">
        <v>133</v>
      </c>
      <c r="C5" s="28" t="s">
        <v>134</v>
      </c>
      <c r="D5" s="28"/>
    </row>
    <row r="6" customFormat="false" ht="15" hidden="false" customHeight="false" outlineLevel="0" collapsed="false">
      <c r="A6" s="29" t="s">
        <v>135</v>
      </c>
      <c r="B6" s="30" t="s">
        <v>136</v>
      </c>
      <c r="C6" s="29" t="n">
        <f aca="false">MATCH(B5,Calculator!$A$6:$A$28,0)</f>
        <v>11</v>
      </c>
    </row>
    <row r="8" customFormat="false" ht="21.75" hidden="false" customHeight="true" outlineLevel="0" collapsed="false">
      <c r="A8" s="5" t="s">
        <v>137</v>
      </c>
      <c r="B8" s="5" t="s">
        <v>138</v>
      </c>
      <c r="C8" s="5" t="s">
        <v>139</v>
      </c>
      <c r="D8" s="5" t="s">
        <v>140</v>
      </c>
    </row>
    <row r="9" customFormat="false" ht="18" hidden="false" customHeight="true" outlineLevel="0" collapsed="false">
      <c r="A9" s="31" t="s">
        <v>141</v>
      </c>
      <c r="B9" s="31"/>
      <c r="C9" s="31"/>
      <c r="D9" s="31"/>
    </row>
    <row r="10" customFormat="false" ht="27.75" hidden="false" customHeight="true" outlineLevel="0" collapsed="false">
      <c r="A10" s="32" t="s">
        <v>142</v>
      </c>
      <c r="B10" s="33" t="s">
        <v>143</v>
      </c>
      <c r="C10" s="34" t="str">
        <f aca="false">INDEX(Calculator!$B$6:$B$28,$C$6)</f>
        <v>NSPCC_Tel</v>
      </c>
      <c r="D10" s="14" t="str">
        <f aca="false">"Instance: "&amp;INDEX(Calculator!$C$6:$C$28,$C$6)&amp;"   |   Source: "&amp;INDEX(Calculator!$D$6:$D$28,$C$6)</f>
        <v>Instance: macp-uk-buro-dev-connect-1   |   Source: Dashboard screen 2</v>
      </c>
    </row>
    <row r="11" customFormat="false" ht="27.75" hidden="false" customHeight="true" outlineLevel="0" collapsed="false">
      <c r="A11" s="32" t="s">
        <v>144</v>
      </c>
      <c r="B11" s="33" t="s">
        <v>145</v>
      </c>
      <c r="C11" s="35" t="n">
        <f aca="false">INDEX(Calculator!$F$6:$F$28,$C$6)</f>
        <v>25</v>
      </c>
      <c r="D11" s="14" t="str">
        <f aca="false">"Number of contacts sitting in the queue right now."</f>
        <v>Number of contacts sitting in the queue right now.</v>
      </c>
    </row>
    <row r="12" customFormat="false" ht="27.75" hidden="false" customHeight="true" outlineLevel="0" collapsed="false">
      <c r="A12" s="32" t="s">
        <v>146</v>
      </c>
      <c r="B12" s="33" t="s">
        <v>147</v>
      </c>
      <c r="C12" s="35" t="n">
        <f aca="false">INDEX(Calculator!$G$6:$G$28,$C$6)</f>
        <v>527</v>
      </c>
      <c r="D12" s="14" t="str">
        <f aca="false">"= "&amp;INT(C12/60)&amp;"m "&amp;MOD(C12,60)&amp;"s - how long the longest-waiting contact has waited."</f>
        <v>= 8m 47s - how long the longest-waiting contact has waited.</v>
      </c>
    </row>
    <row r="13" customFormat="false" ht="27.75" hidden="false" customHeight="true" outlineLevel="0" collapsed="false">
      <c r="A13" s="32" t="s">
        <v>148</v>
      </c>
      <c r="B13" s="33" t="s">
        <v>149</v>
      </c>
      <c r="C13" s="35" t="n">
        <f aca="false">INDEX(Calculator!$H$6:$H$28,$C$6)</f>
        <v>1</v>
      </c>
      <c r="D13" s="14" t="str">
        <f aca="false">"Agents signed in and ready to take a contact right now."</f>
        <v>Agents signed in and ready to take a contact right now.</v>
      </c>
    </row>
    <row r="14" customFormat="false" ht="27.75" hidden="false" customHeight="true" outlineLevel="0" collapsed="false">
      <c r="A14" s="32" t="s">
        <v>150</v>
      </c>
      <c r="B14" s="33" t="s">
        <v>151</v>
      </c>
      <c r="C14" s="35" t="n">
        <f aca="false">INDEX(Calculator!$I$6:$I$28,$C$6)</f>
        <v>14</v>
      </c>
      <c r="D14" s="14" t="str">
        <f aca="false">"Agents signed in to this queue (free or busy)."</f>
        <v>Agents signed in to this queue (free or busy).</v>
      </c>
    </row>
    <row r="15" customFormat="false" ht="27.75" hidden="false" customHeight="true" outlineLevel="0" collapsed="false">
      <c r="A15" s="32" t="s">
        <v>152</v>
      </c>
      <c r="B15" s="33" t="s">
        <v>153</v>
      </c>
      <c r="C15" s="35" t="n">
        <f aca="false">INDEX(Calculator!$E$6:$E$28,$C$6)</f>
        <v>30</v>
      </c>
      <c r="D15" s="14" t="str">
        <f aca="false">"How old the queue data is. Not shown on the dashboard, so 30 s is assumed for dashboard rows."</f>
        <v>How old the queue data is. Not shown on the dashboard, so 30 s is assumed for dashboard rows.</v>
      </c>
    </row>
    <row r="16" customFormat="false" ht="18" hidden="false" customHeight="true" outlineLevel="0" collapsed="false">
      <c r="A16" s="31" t="s">
        <v>154</v>
      </c>
      <c r="B16" s="31"/>
      <c r="C16" s="31"/>
      <c r="D16" s="31"/>
    </row>
    <row r="17" customFormat="false" ht="39.75" hidden="false" customHeight="true" outlineLevel="0" collapsed="false">
      <c r="A17" s="32" t="s">
        <v>155</v>
      </c>
      <c r="B17" s="33" t="str">
        <f aca="false">"Data freshness:  IF( data age &gt; "&amp;'Demand Framework'!$C$24&amp;" s , STALE , OK )"&amp;CHAR(10)&amp;"= IF( "&amp;C15&amp;" &gt; "&amp;'Demand Framework'!$C$24&amp;" , STALE , OK )"</f>
        <v>Data freshness:  IF( data age &gt; 180 s , STALE , OK )
= IF( 30 &gt; 180 , STALE , OK )</v>
      </c>
      <c r="C17" s="36" t="str">
        <f aca="false">IF(C15&gt;'Demand Framework'!$C$24,"STALE","OK")</f>
        <v>OK</v>
      </c>
      <c r="D17" s="14" t="str">
        <f aca="false">IF(C17="STALE","The snapshot is older than the limit, so no score is produced (no number is better than a wrong one).","The snapshot is recent enough to score.")</f>
        <v>The snapshot is recent enough to score.</v>
      </c>
    </row>
    <row r="18" customFormat="false" ht="27.75" hidden="false" customHeight="true" outlineLevel="0" collapsed="false">
      <c r="A18" s="32" t="s">
        <v>156</v>
      </c>
      <c r="B18" s="33" t="str">
        <f aca="false">"Anything waiting?  IF( contacts waiting &lt;= 0 , score = 0 )"</f>
        <v>Anything waiting?  IF( contacts waiting &lt;= 0 , score = 0 )</v>
      </c>
      <c r="C18" s="36" t="str">
        <f aca="false">IF(C11&lt;=0,"NOBODY WAITING","CONTINUE")</f>
        <v>CONTINUE</v>
      </c>
      <c r="D18" s="14" t="str">
        <f aca="false">IF(C11&lt;=0,"A queue with nobody waiting always scores 0, even if it is short of agents.","There are contacts waiting, so scoring continues.")</f>
        <v>There are contacts waiting, so scoring continues.</v>
      </c>
    </row>
    <row r="19" customFormat="false" ht="18" hidden="false" customHeight="true" outlineLevel="0" collapsed="false">
      <c r="A19" s="31" t="s">
        <v>157</v>
      </c>
      <c r="B19" s="31"/>
      <c r="C19" s="31"/>
      <c r="D19" s="31"/>
    </row>
    <row r="20" customFormat="false" ht="39.75" hidden="false" customHeight="true" outlineLevel="0" collapsed="false">
      <c r="A20" s="32" t="s">
        <v>158</v>
      </c>
      <c r="B20" s="33" t="str">
        <f aca="false">"Queue depth score = MIN( contacts waiting ÷ depth threshold , 1 )"&amp;CHAR(10)&amp;"= MIN( "&amp;C11&amp;" ÷ "&amp;'Demand Framework'!$C$16&amp;" , 1 )"</f>
        <v>Queue depth score = MIN( contacts waiting ÷ depth threshold , 1 )
= MIN( 25 ÷ 10 , 1 )</v>
      </c>
      <c r="C20" s="37" t="n">
        <f aca="false">MIN(C11/'Demand Framework'!$C$16,1)</f>
        <v>1</v>
      </c>
      <c r="D20" s="14" t="str">
        <f aca="false">"Raw ratio "&amp;TEXT(C11/'Demand Framework'!$C$16,"0.00")&amp;IF(C11/'Demand Framework'!$C$16&gt;=1," - at or above the threshold, so this signal is capped at 1.0 (fully maxed out)."," - below the threshold, so it counts proportionally.")</f>
        <v>Raw ratio 2.50 - at or above the threshold, so this signal is capped at 1.0 (fully maxed out).</v>
      </c>
    </row>
    <row r="21" customFormat="false" ht="39.75" hidden="false" customHeight="true" outlineLevel="0" collapsed="false">
      <c r="A21" s="32" t="s">
        <v>159</v>
      </c>
      <c r="B21" s="33" t="str">
        <f aca="false">"Oldest age score = MIN( oldest wait ÷ age threshold , 1 )"&amp;CHAR(10)&amp;"= MIN( "&amp;C12&amp;" ÷ "&amp;'Demand Framework'!$C$17&amp;" , 1 )"</f>
        <v>Oldest age score = MIN( oldest wait ÷ age threshold , 1 )
= MIN( 527 ÷ 300 , 1 )</v>
      </c>
      <c r="C21" s="37" t="n">
        <f aca="false">MIN(C12/'Demand Framework'!$C$17,1)</f>
        <v>1</v>
      </c>
      <c r="D21" s="14" t="str">
        <f aca="false">"Raw ratio "&amp;TEXT(C12/'Demand Framework'!$C$17,"0.00")&amp;IF(C12/'Demand Framework'!$C$17&gt;=1," - the longest wait is at or beyond the threshold, so this signal is capped at 1.0."," - below the threshold, so it counts proportionally.")</f>
        <v>Raw ratio 1.76 - the longest wait is at or beyond the threshold, so this signal is capped at 1.0.</v>
      </c>
    </row>
    <row r="22" customFormat="false" ht="39.75" hidden="false" customHeight="true" outlineLevel="0" collapsed="false">
      <c r="A22" s="32" t="s">
        <v>160</v>
      </c>
      <c r="B22" s="33" t="str">
        <f aca="false">"Agent shortage = IF( staffed &lt;= 0 , 1 , 1 - available ÷ staffed )"&amp;CHAR(10)&amp;IF(C14&lt;=0,"= 1   (nobody staffed)","= 1 - "&amp;C13&amp;" ÷ "&amp;C14)</f>
        <v>Agent shortage = IF( staffed &lt;= 0 , 1 , 1 - available ÷ staffed )
= 1 - 1 ÷ 14</v>
      </c>
      <c r="C22" s="37" t="n">
        <f aca="false">IF(C14&lt;=0,1,MAX(0,MIN(1,1-C13/C14)))</f>
        <v>0.928571428571429</v>
      </c>
      <c r="D22" s="14" t="str">
        <f aca="false">IF(C14&lt;=0,"Nobody is staffed on this queue, so the shortage is treated as total (1.0).",TEXT(C13/C14,"0.0%")&amp;" of staffed agents are free right now, so "&amp;TEXT(1-C13/C14,"0.0%")&amp;" are not available to take contacts.")</f>
        <v>7.1% of staffed agents are free right now, so 92.9% are not available to take contacts.</v>
      </c>
    </row>
    <row r="23" customFormat="false" ht="39.75" hidden="false" customHeight="true" outlineLevel="0" collapsed="false">
      <c r="A23" s="32" t="s">
        <v>161</v>
      </c>
      <c r="B23" s="33" t="str">
        <f aca="false">"Workload (seconds) = contacts waiting × default handle time"&amp;CHAR(10)&amp;"= "&amp;C11&amp;" × "&amp;'Demand Framework'!$C$23</f>
        <v>Workload (seconds) = contacts waiting × default handle time
= 25 × 600</v>
      </c>
      <c r="C23" s="38" t="n">
        <f aca="false">C11*'Demand Framework'!$C$23</f>
        <v>15000</v>
      </c>
      <c r="D23" s="14" t="str">
        <f aca="false">"An estimate of the work waiting. Handle-time data only refreshes once a day, so the default of "&amp;'Demand Framework'!$C$23&amp;" seconds per contact is used."</f>
        <v>An estimate of the work waiting. Handle-time data only refreshes once a day, so the default of 600 seconds per contact is used.</v>
      </c>
    </row>
    <row r="24" customFormat="false" ht="39.75" hidden="false" customHeight="true" outlineLevel="0" collapsed="false">
      <c r="A24" s="32" t="s">
        <v>162</v>
      </c>
      <c r="B24" s="33" t="str">
        <f aca="false">"Workload score = MIN( workload ÷ workload threshold , 1 )"&amp;CHAR(10)&amp;"= MIN( "&amp;C23&amp;" ÷ "&amp;'Demand Framework'!$C$19&amp;" , 1 )"</f>
        <v>Workload score = MIN( workload ÷ workload threshold , 1 )
= MIN( 15000 ÷ 1800 , 1 )</v>
      </c>
      <c r="C24" s="37" t="n">
        <f aca="false">MIN(C23/'Demand Framework'!$C$19,1)</f>
        <v>1</v>
      </c>
      <c r="D24" s="14" t="str">
        <f aca="false">"Raw ratio "&amp;TEXT(C23/'Demand Framework'!$C$19,"0.00")&amp;IF(C23/'Demand Framework'!$C$19&gt;=1," - the queued work exceeds the threshold, so this signal is capped at 1.0."," - below the threshold, so it counts proportionally.")</f>
        <v>Raw ratio 8.33 - the queued work exceeds the threshold, so this signal is capped at 1.0.</v>
      </c>
    </row>
    <row r="25" customFormat="false" ht="18" hidden="false" customHeight="true" outlineLevel="0" collapsed="false">
      <c r="A25" s="31" t="s">
        <v>163</v>
      </c>
      <c r="B25" s="31"/>
      <c r="C25" s="31"/>
      <c r="D25" s="31"/>
    </row>
    <row r="26" customFormat="false" ht="39.75" hidden="false" customHeight="true" outlineLevel="0" collapsed="false">
      <c r="A26" s="32" t="s">
        <v>164</v>
      </c>
      <c r="B26" s="33" t="str">
        <f aca="false">"Queue depth contribution = score × weight"&amp;CHAR(10)&amp;"= "&amp;TEXT(C20,"0.000")&amp;" × "&amp;'Demand Framework'!$E$16</f>
        <v>Queue depth contribution = score × weight
= 1.000 × 0.35</v>
      </c>
      <c r="C26" s="37" t="n">
        <f aca="false">C20*'Demand Framework'!$E$16</f>
        <v>0.35</v>
      </c>
      <c r="D26" s="14" t="str">
        <f aca="false">IF(C30=0,"No contribution.",TEXT(C26/C30,"0%")&amp;" of the weighted sum.")</f>
        <v>36% of the weighted sum.</v>
      </c>
    </row>
    <row r="27" customFormat="false" ht="39.75" hidden="false" customHeight="true" outlineLevel="0" collapsed="false">
      <c r="A27" s="32" t="s">
        <v>165</v>
      </c>
      <c r="B27" s="33" t="str">
        <f aca="false">"Oldest age contribution = score × weight"&amp;CHAR(10)&amp;"= "&amp;TEXT(C21,"0.000")&amp;" × "&amp;'Demand Framework'!$E$17</f>
        <v>Oldest age contribution = score × weight
= 1.000 × 0.35</v>
      </c>
      <c r="C27" s="37" t="n">
        <f aca="false">C21*'Demand Framework'!$E$17</f>
        <v>0.35</v>
      </c>
      <c r="D27" s="14" t="str">
        <f aca="false">IF(C30=0,"No contribution.",TEXT(C27/C30,"0%")&amp;" of the weighted sum.")</f>
        <v>36% of the weighted sum.</v>
      </c>
    </row>
    <row r="28" customFormat="false" ht="39.75" hidden="false" customHeight="true" outlineLevel="0" collapsed="false">
      <c r="A28" s="32" t="s">
        <v>166</v>
      </c>
      <c r="B28" s="33" t="str">
        <f aca="false">"Agent shortage contribution = score × weight"&amp;CHAR(10)&amp;"= "&amp;TEXT(C22,"0.000")&amp;" × "&amp;'Demand Framework'!$E$18</f>
        <v>Agent shortage contribution = score × weight
= 0.929 × 0.2</v>
      </c>
      <c r="C28" s="37" t="n">
        <f aca="false">C22*'Demand Framework'!$E$18</f>
        <v>0.185714285714286</v>
      </c>
      <c r="D28" s="14" t="str">
        <f aca="false">IF(C30=0,"No contribution.",TEXT(C28/C30,"0%")&amp;" of the weighted sum.")</f>
        <v>19% of the weighted sum.</v>
      </c>
    </row>
    <row r="29" customFormat="false" ht="39.75" hidden="false" customHeight="true" outlineLevel="0" collapsed="false">
      <c r="A29" s="32" t="s">
        <v>167</v>
      </c>
      <c r="B29" s="33" t="str">
        <f aca="false">"Queued workload contribution = score × weight"&amp;CHAR(10)&amp;"= "&amp;TEXT(C24,"0.000")&amp;" × "&amp;'Demand Framework'!$E$19</f>
        <v>Queued workload contribution = score × weight
= 1.000 × 0.1</v>
      </c>
      <c r="C29" s="37" t="n">
        <f aca="false">C24*'Demand Framework'!$E$19</f>
        <v>0.1</v>
      </c>
      <c r="D29" s="14" t="str">
        <f aca="false">IF(C30=0,"No contribution.",TEXT(C29/C30,"0%")&amp;" of the weighted sum.")</f>
        <v>10% of the weighted sum.</v>
      </c>
    </row>
    <row r="30" customFormat="false" ht="39.75" hidden="false" customHeight="true" outlineLevel="0" collapsed="false">
      <c r="A30" s="32" t="s">
        <v>168</v>
      </c>
      <c r="B30" s="33" t="str">
        <f aca="false">"Sum of the four contributions"&amp;CHAR(10)&amp;"= "&amp;TEXT(C26,"0.000")&amp;" + "&amp;TEXT(C27,"0.000")&amp;" + "&amp;TEXT(C28,"0.000")&amp;" + "&amp;TEXT(C29,"0.000")</f>
        <v>Sum of the four contributions
= 0.350 + 0.350 + 0.186 + 0.100</v>
      </c>
      <c r="C30" s="37" t="n">
        <f aca="false">SUM(C26:C29)</f>
        <v>0.985714285714286</v>
      </c>
      <c r="D30" s="14" t="str">
        <f aca="false">"Adds the four weighted contributions together."</f>
        <v>Adds the four weighted contributions together.</v>
      </c>
    </row>
    <row r="31" customFormat="false" ht="18" hidden="false" customHeight="true" outlineLevel="0" collapsed="false">
      <c r="A31" s="31" t="s">
        <v>169</v>
      </c>
      <c r="B31" s="31"/>
      <c r="C31" s="31"/>
      <c r="D31" s="31"/>
    </row>
    <row r="32" customFormat="false" ht="39.75" hidden="false" customHeight="true" outlineLevel="0" collapsed="false">
      <c r="A32" s="32" t="s">
        <v>170</v>
      </c>
      <c r="B32" s="33" t="str">
        <f aca="false">"Weighted total (0-1) = sum ÷ total weight"&amp;CHAR(10)&amp;"= "&amp;TEXT(C30,"0.000")&amp;" ÷ "&amp;'Demand Framework'!$E$20</f>
        <v>Weighted total (0-1) = sum ÷ total weight
= 0.986 ÷ 1</v>
      </c>
      <c r="C32" s="39" t="n">
        <f aca="false">C30/'Demand Framework'!$E$20</f>
        <v>0.985714285714286</v>
      </c>
      <c r="D32" s="14" t="str">
        <f aca="false">IF(ROUND('Demand Framework'!$E$20,4)=1,"The weights total 1.00, so this equals the sum.","The weights do not total 1.00, so the sum is rescaled.")</f>
        <v>The weights total 1.00, so this equals the sum.</v>
      </c>
    </row>
    <row r="33" customFormat="false" ht="39.75" hidden="false" customHeight="true" outlineLevel="0" collapsed="false">
      <c r="A33" s="32" t="s">
        <v>171</v>
      </c>
      <c r="B33" s="33" t="str">
        <f aca="false">"Pressure score = ROUND( weighted total × "&amp;'Demand Framework'!$C$25&amp;" , 2 ),  unless overridden"&amp;CHAR(10)&amp;IF(C17="STALE","= not scored (stale data)",IF(C11&lt;=0,"= 0   (nobody waiting)","= ROUND( "&amp;TEXT(C32,"0.0000")&amp;" × "&amp;'Demand Framework'!$C$25&amp;" , 2 )"))</f>
        <v>Pressure score = ROUND( weighted total × 100 , 2 ),  unless overridden
= ROUND( 0.9857 × 100 , 2 )</v>
      </c>
      <c r="C33" s="40" t="n">
        <f aca="false">IF(C17="STALE","",IF(C11&lt;=0,0,ROUND(C32*'Demand Framework'!$C$25,2)))</f>
        <v>98.57</v>
      </c>
      <c r="D33" s="14" t="str">
        <f aca="false">IF(C17="STALE","No score is produced from stale data.",IF(C11&lt;=0,"Override: a queue with nobody waiting scores 0, whatever the other signals say.","The final 0-100 pressure score for this queue."))</f>
        <v>The final 0-100 pressure score for this queue.</v>
      </c>
    </row>
    <row r="34" customFormat="false" ht="27.75" hidden="false" customHeight="true" outlineLevel="0" collapsed="false">
      <c r="A34" s="32" t="s">
        <v>65</v>
      </c>
      <c r="B34" s="33" t="str">
        <f aca="false">"Band = the highest band whose starting score is at or below the pressure score"</f>
        <v>Band = the highest band whose starting score is at or below the pressure score</v>
      </c>
      <c r="C34" s="41" t="str">
        <f aca="false">IF(C33="","STALE",INDEX('Demand Framework'!$A$28:$A$32,MATCH(C33,'Demand Framework'!$C$28:$C$32,1)))</f>
        <v>CRITICAL</v>
      </c>
      <c r="D34" s="14" t="str">
        <f aca="false">IF(C33="","No band without a score.","Score "&amp;TEXT(C33,"0.00")&amp;" falls in "&amp;C34&amp;" (from "&amp;INDEX('Demand Framework'!$C$28:$C$32,MATCH(C33,'Demand Framework'!$C$28:$C$32,1))&amp;IFERROR(" up to just below "&amp;INDEX('Demand Framework'!$C$28:$C$32,MATCH(C33,'Demand Framework'!$C$28:$C$32,1)+1)," upward - the top band")&amp;").")</f>
        <v>Score 98.57 falls in CRITICAL (from 90 upward - the top band).</v>
      </c>
    </row>
    <row r="35" customFormat="false" ht="27.75" hidden="false" customHeight="true" outlineLevel="0" collapsed="false">
      <c r="A35" s="32" t="s">
        <v>172</v>
      </c>
      <c r="B35" s="33" t="str">
        <f aca="false">"Biggest driver = the signal with the largest weighted contribution"</f>
        <v>Biggest driver = the signal with the largest weighted contribution</v>
      </c>
      <c r="C35" s="36" t="str">
        <f aca="false">IF(C33="","",IF(C11&lt;=0,"None - nobody waiting",INDEX('Demand Framework'!$A$16:$A$19,MATCH(MAX(C26:C29),C26:C29,0))))</f>
        <v>Queue depth</v>
      </c>
      <c r="D35" s="14" t="str">
        <f aca="false">IF(OR(C33="",C11&lt;=0),"","Contributes "&amp;TEXT(MAX(C26:C29)/'Demand Framework'!$E$20*'Demand Framework'!$C$25,"0.0")&amp;" of the "&amp;TEXT(C33,"0.0")&amp;" points.")</f>
        <v>Contributes 35.0 of the 98.6 points.</v>
      </c>
    </row>
    <row r="36" customFormat="false" ht="18" hidden="false" customHeight="true" outlineLevel="0" collapsed="false">
      <c r="A36" s="31" t="s">
        <v>173</v>
      </c>
      <c r="B36" s="31"/>
      <c r="C36" s="31"/>
      <c r="D36" s="31"/>
    </row>
    <row r="37" customFormat="false" ht="27.75" hidden="false" customHeight="true" outlineLevel="0" collapsed="false">
      <c r="A37" s="32" t="s">
        <v>174</v>
      </c>
      <c r="B37" s="33" t="str">
        <f aca="false">"Cross-check: the result on the Calculator tab for this row"</f>
        <v>Cross-check: the result on the Calculator tab for this row</v>
      </c>
      <c r="C37" s="42" t="n">
        <f aca="false">INDEX(Calculator!$T$6:$T$28,$C$6)</f>
        <v>98.57</v>
      </c>
      <c r="D37" s="14" t="str">
        <f aca="false">IF(C37=C33,"Matches this trace.","DOES NOT MATCH the trace - check the Calculator formulas.")</f>
        <v>Matches this trace.</v>
      </c>
    </row>
    <row r="38" customFormat="false" ht="27.75" hidden="false" customHeight="true" outlineLevel="0" collapsed="false">
      <c r="A38" s="32" t="s">
        <v>175</v>
      </c>
      <c r="B38" s="33" t="str">
        <f aca="false">"Value shown on the dashboard (or by the Lambda) for this row"</f>
        <v>Value shown on the dashboard (or by the Lambda) for this row</v>
      </c>
      <c r="C38" s="42" t="n">
        <f aca="false">IF(INDEX(Calculator!$V$6:$V$28,$C$6)="","n/a",INDEX(Calculator!$V$6:$V$28,$C$6))</f>
        <v>98.6</v>
      </c>
      <c r="D38" s="14" t="str">
        <f aca="false">IF(C38="n/a","No dashboard value recorded for this row (illustrative scenario).",IF(C33="","",IF(ABS(C38-C33)&lt;=0.1,"Ties - the dashboard value follows this calculation.","Differs by "&amp;TEXT(C38-C33,"+0.0;-0.0")&amp;" points - the dashboard is not using these defaults (see Open Items #2).")))</f>
        <v>Ties - the dashboard value follows this calculation.</v>
      </c>
    </row>
    <row r="40" customFormat="false" ht="28.5" hidden="false" customHeight="true" outlineLevel="0" collapsed="false">
      <c r="A40" s="3" t="s">
        <v>176</v>
      </c>
      <c r="B40" s="3"/>
      <c r="C40" s="3"/>
      <c r="D40" s="3"/>
    </row>
  </sheetData>
  <mergeCells count="10">
    <mergeCell ref="A2:D2"/>
    <mergeCell ref="A4:D4"/>
    <mergeCell ref="C5:D5"/>
    <mergeCell ref="A9:D9"/>
    <mergeCell ref="A16:D16"/>
    <mergeCell ref="A19:D19"/>
    <mergeCell ref="A25:D25"/>
    <mergeCell ref="A31:D31"/>
    <mergeCell ref="A36:D36"/>
    <mergeCell ref="A40:D40"/>
  </mergeCells>
  <conditionalFormatting sqref="C34">
    <cfRule type="expression" priority="2" aboveAverage="0" equalAverage="0" bottom="0" percent="0" rank="0" text="" dxfId="0">
      <formula>$C$34="CRITICAL"</formula>
    </cfRule>
    <cfRule type="expression" priority="3" aboveAverage="0" equalAverage="0" bottom="0" percent="0" rank="0" text="" dxfId="1">
      <formula>$C$34="HIGH"</formula>
    </cfRule>
    <cfRule type="expression" priority="4" aboveAverage="0" equalAverage="0" bottom="0" percent="0" rank="0" text="" dxfId="2">
      <formula>$C$34="MEDIUM"</formula>
    </cfRule>
    <cfRule type="expression" priority="5" aboveAverage="0" equalAverage="0" bottom="0" percent="0" rank="0" text="" dxfId="3">
      <formula>$C$34="LOW"</formula>
    </cfRule>
    <cfRule type="expression" priority="6" aboveAverage="0" equalAverage="0" bottom="0" percent="0" rank="0" text="" dxfId="4">
      <formula>$C$34="NORMAL"</formula>
    </cfRule>
    <cfRule type="expression" priority="7" aboveAverage="0" equalAverage="0" bottom="0" percent="0" rank="0" text="" dxfId="5">
      <formula>$C$34="STALE"</formula>
    </cfRule>
  </conditionalFormatting>
  <conditionalFormatting sqref="C18">
    <cfRule type="expression" priority="8" aboveAverage="0" equalAverage="0" bottom="0" percent="0" rank="0" text="" dxfId="5">
      <formula>$C$18="NOBODY WAITING"</formula>
    </cfRule>
  </conditionalFormatting>
  <conditionalFormatting sqref="C17">
    <cfRule type="expression" priority="9" aboveAverage="0" equalAverage="0" bottom="0" percent="0" rank="0" text="" dxfId="0">
      <formula>$C$17="STALE"</formula>
    </cfRule>
  </conditionalFormatting>
  <dataValidations count="1">
    <dataValidation allowBlank="false" errorStyle="stop" operator="between" showDropDown="false" showErrorMessage="false" showInputMessage="false" sqref="B5" type="list">
      <formula1>Calculator!$A$6:$A$28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true"/>
  </sheetPr>
  <dimension ref="A1:X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4"/>
    <col collapsed="false" customWidth="true" hidden="false" outlineLevel="0" max="3" min="3" style="0" width="28"/>
    <col collapsed="false" customWidth="true" hidden="false" outlineLevel="0" max="4" min="4" style="0" width="22"/>
    <col collapsed="false" customWidth="true" hidden="false" outlineLevel="0" max="5" min="5" style="0" width="9"/>
    <col collapsed="false" customWidth="true" hidden="false" outlineLevel="0" max="9" min="6" style="0" width="10"/>
    <col collapsed="false" customWidth="true" hidden="false" outlineLevel="0" max="10" min="10" style="0" width="8"/>
    <col collapsed="false" customWidth="true" hidden="false" outlineLevel="0" max="18" min="11" style="0" width="9"/>
    <col collapsed="false" customWidth="true" hidden="false" outlineLevel="0" max="19" min="19" style="0" width="10"/>
    <col collapsed="false" customWidth="true" hidden="false" outlineLevel="0" max="23" min="20" style="0" width="11"/>
    <col collapsed="false" customWidth="true" hidden="false" outlineLevel="0" max="24" min="24" style="0" width="10"/>
  </cols>
  <sheetData>
    <row r="1" customFormat="false" ht="24" hidden="false" customHeight="true" outlineLevel="0" collapsed="false">
      <c r="A1" s="1" t="s">
        <v>177</v>
      </c>
    </row>
    <row r="2" customFormat="false" ht="30" hidden="false" customHeight="true" outlineLevel="0" collapsed="false">
      <c r="A2" s="2" t="s">
        <v>178</v>
      </c>
      <c r="B2" s="2"/>
      <c r="C2" s="2"/>
      <c r="D2" s="2"/>
      <c r="E2" s="2"/>
      <c r="F2" s="2"/>
      <c r="G2" s="2"/>
      <c r="H2" s="2"/>
      <c r="I2" s="2"/>
      <c r="J2" s="2"/>
      <c r="K2" s="2"/>
      <c r="L2" s="2"/>
      <c r="M2" s="2"/>
      <c r="N2" s="2"/>
      <c r="O2" s="2"/>
      <c r="P2" s="2"/>
      <c r="Q2" s="2"/>
      <c r="R2" s="2"/>
      <c r="S2" s="2"/>
      <c r="T2" s="2"/>
      <c r="U2" s="2"/>
      <c r="V2" s="2"/>
      <c r="W2" s="2"/>
      <c r="X2" s="2"/>
    </row>
    <row r="3" customFormat="false" ht="15.75" hidden="false" customHeight="true" outlineLevel="0" collapsed="false">
      <c r="A3" s="3" t="s">
        <v>179</v>
      </c>
      <c r="B3" s="3"/>
      <c r="C3" s="3"/>
      <c r="D3" s="3"/>
      <c r="E3" s="3"/>
      <c r="F3" s="3"/>
      <c r="G3" s="3"/>
      <c r="H3" s="3"/>
      <c r="I3" s="3"/>
      <c r="J3" s="3"/>
      <c r="K3" s="3"/>
      <c r="L3" s="3"/>
      <c r="M3" s="3"/>
      <c r="N3" s="3"/>
      <c r="O3" s="3"/>
      <c r="P3" s="3"/>
      <c r="Q3" s="3"/>
      <c r="R3" s="3"/>
      <c r="S3" s="3"/>
      <c r="T3" s="3"/>
      <c r="U3" s="3"/>
      <c r="V3" s="3"/>
      <c r="W3" s="3"/>
      <c r="X3" s="3"/>
    </row>
    <row r="4" customFormat="false" ht="15" hidden="false" customHeight="false" outlineLevel="0" collapsed="false">
      <c r="E4" s="43" t="s">
        <v>180</v>
      </c>
      <c r="F4" s="43"/>
      <c r="G4" s="43"/>
      <c r="H4" s="43"/>
      <c r="I4" s="43"/>
      <c r="J4" s="43"/>
      <c r="K4" s="44" t="s">
        <v>181</v>
      </c>
      <c r="L4" s="44"/>
      <c r="M4" s="44"/>
      <c r="N4" s="44"/>
      <c r="O4" s="44" t="s">
        <v>182</v>
      </c>
      <c r="P4" s="44"/>
      <c r="Q4" s="44"/>
      <c r="R4" s="44"/>
      <c r="S4" s="45" t="s">
        <v>183</v>
      </c>
      <c r="T4" s="45"/>
      <c r="U4" s="45"/>
      <c r="V4" s="44" t="s">
        <v>184</v>
      </c>
      <c r="W4" s="44"/>
      <c r="X4" s="44"/>
    </row>
    <row r="5" customFormat="false" ht="48" hidden="false" customHeight="true" outlineLevel="0" collapsed="false">
      <c r="A5" s="5" t="s">
        <v>185</v>
      </c>
      <c r="B5" s="5" t="s">
        <v>186</v>
      </c>
      <c r="C5" s="5" t="s">
        <v>187</v>
      </c>
      <c r="D5" s="5" t="s">
        <v>188</v>
      </c>
      <c r="E5" s="5" t="s">
        <v>189</v>
      </c>
      <c r="F5" s="5" t="s">
        <v>190</v>
      </c>
      <c r="G5" s="5" t="s">
        <v>191</v>
      </c>
      <c r="H5" s="5" t="s">
        <v>114</v>
      </c>
      <c r="I5" s="5" t="s">
        <v>192</v>
      </c>
      <c r="J5" s="5" t="s">
        <v>193</v>
      </c>
      <c r="K5" s="5" t="s">
        <v>33</v>
      </c>
      <c r="L5" s="5" t="s">
        <v>194</v>
      </c>
      <c r="M5" s="5" t="s">
        <v>195</v>
      </c>
      <c r="N5" s="5" t="s">
        <v>49</v>
      </c>
      <c r="O5" s="5" t="s">
        <v>196</v>
      </c>
      <c r="P5" s="5" t="s">
        <v>197</v>
      </c>
      <c r="Q5" s="5" t="s">
        <v>198</v>
      </c>
      <c r="R5" s="5" t="s">
        <v>199</v>
      </c>
      <c r="S5" s="5" t="s">
        <v>200</v>
      </c>
      <c r="T5" s="5" t="s">
        <v>201</v>
      </c>
      <c r="U5" s="5" t="s">
        <v>65</v>
      </c>
      <c r="V5" s="5" t="s">
        <v>202</v>
      </c>
      <c r="W5" s="5" t="s">
        <v>203</v>
      </c>
      <c r="X5" s="5" t="s">
        <v>183</v>
      </c>
    </row>
    <row r="6" customFormat="false" ht="15" hidden="false" customHeight="false" outlineLevel="0" collapsed="false">
      <c r="A6" s="15" t="s">
        <v>204</v>
      </c>
      <c r="B6" s="16" t="s">
        <v>205</v>
      </c>
      <c r="C6" s="16" t="s">
        <v>206</v>
      </c>
      <c r="D6" s="46" t="s">
        <v>207</v>
      </c>
      <c r="E6" s="47" t="n">
        <v>30</v>
      </c>
      <c r="F6" s="47" t="n">
        <v>1</v>
      </c>
      <c r="G6" s="47" t="n">
        <v>415122</v>
      </c>
      <c r="H6" s="47" t="n">
        <v>0</v>
      </c>
      <c r="I6" s="47" t="n">
        <v>0</v>
      </c>
      <c r="J6" s="48" t="str">
        <f aca="false">IF(E6&gt;'Demand Framework'!$C$24,"STALE","OK")</f>
        <v>OK</v>
      </c>
      <c r="K6" s="49" t="n">
        <f aca="false">MIN(F6/'Demand Framework'!$C$16,1)</f>
        <v>0.1</v>
      </c>
      <c r="L6" s="49" t="n">
        <f aca="false">MIN(G6/'Demand Framework'!$C$17,1)</f>
        <v>1</v>
      </c>
      <c r="M6" s="50" t="n">
        <f aca="false">IF(I6&lt;=0,1,MAX(0,MIN(1,1-H6/I6)))</f>
        <v>1</v>
      </c>
      <c r="N6" s="49" t="n">
        <f aca="false">MIN(F6*'Demand Framework'!$C$23/'Demand Framework'!$C$19,1)</f>
        <v>0.333333333333333</v>
      </c>
      <c r="O6" s="49" t="n">
        <f aca="false">K6*'Demand Framework'!$E$16</f>
        <v>0.035</v>
      </c>
      <c r="P6" s="49" t="n">
        <f aca="false">L6*'Demand Framework'!$E$17</f>
        <v>0.35</v>
      </c>
      <c r="Q6" s="49" t="n">
        <f aca="false">M6*'Demand Framework'!$E$18</f>
        <v>0.2</v>
      </c>
      <c r="R6" s="49" t="n">
        <f aca="false">N6*'Demand Framework'!$E$19</f>
        <v>0.0333333333333333</v>
      </c>
      <c r="S6" s="49" t="n">
        <f aca="false">SUM(O6:R6)/'Demand Framework'!$E$20</f>
        <v>0.618333333333333</v>
      </c>
      <c r="T6" s="51" t="n">
        <f aca="false">IF(J6="STALE","",IF(F6&lt;=0,0,ROUND(S6*'Demand Framework'!$C$25,2)))</f>
        <v>61.83</v>
      </c>
      <c r="U6" s="52" t="str">
        <f aca="false">IF(T6="","STALE",INDEX('Demand Framework'!$A$28:$A$32,MATCH(T6,'Demand Framework'!$C$28:$C$32,1)))</f>
        <v>MEDIUM</v>
      </c>
      <c r="V6" s="22" t="n">
        <v>61.83</v>
      </c>
      <c r="W6" s="53" t="n">
        <f aca="false">IF(OR(V6="",T6=""),"",T6-V6)</f>
        <v>0</v>
      </c>
      <c r="X6" s="26" t="str">
        <f aca="false">IF(V6="","n/a",IF(T6="","",IF(ABS(W6)&lt;=0.1,"Ties","DIFFERS")))</f>
        <v>Ties</v>
      </c>
    </row>
    <row r="7" customFormat="false" ht="15" hidden="false" customHeight="false" outlineLevel="0" collapsed="false">
      <c r="A7" s="15" t="s">
        <v>208</v>
      </c>
      <c r="B7" s="16" t="s">
        <v>209</v>
      </c>
      <c r="C7" s="16" t="s">
        <v>206</v>
      </c>
      <c r="D7" s="46" t="s">
        <v>210</v>
      </c>
      <c r="E7" s="47" t="n">
        <v>30</v>
      </c>
      <c r="F7" s="47" t="n">
        <v>24</v>
      </c>
      <c r="G7" s="47" t="n">
        <v>492</v>
      </c>
      <c r="H7" s="47" t="n">
        <v>0</v>
      </c>
      <c r="I7" s="47" t="n">
        <v>9</v>
      </c>
      <c r="J7" s="48" t="str">
        <f aca="false">IF(E7&gt;'Demand Framework'!$C$24,"STALE","OK")</f>
        <v>OK</v>
      </c>
      <c r="K7" s="49" t="n">
        <f aca="false">MIN(F7/'Demand Framework'!$C$16,1)</f>
        <v>1</v>
      </c>
      <c r="L7" s="49" t="n">
        <f aca="false">MIN(G7/'Demand Framework'!$C$17,1)</f>
        <v>1</v>
      </c>
      <c r="M7" s="50" t="n">
        <f aca="false">IF(I7&lt;=0,1,MAX(0,MIN(1,1-H7/I7)))</f>
        <v>1</v>
      </c>
      <c r="N7" s="49" t="n">
        <f aca="false">MIN(F7*'Demand Framework'!$C$23/'Demand Framework'!$C$19,1)</f>
        <v>1</v>
      </c>
      <c r="O7" s="49" t="n">
        <f aca="false">K7*'Demand Framework'!$E$16</f>
        <v>0.35</v>
      </c>
      <c r="P7" s="49" t="n">
        <f aca="false">L7*'Demand Framework'!$E$17</f>
        <v>0.35</v>
      </c>
      <c r="Q7" s="49" t="n">
        <f aca="false">M7*'Demand Framework'!$E$18</f>
        <v>0.2</v>
      </c>
      <c r="R7" s="49" t="n">
        <f aca="false">N7*'Demand Framework'!$E$19</f>
        <v>0.1</v>
      </c>
      <c r="S7" s="49" t="n">
        <f aca="false">SUM(O7:R7)/'Demand Framework'!$E$20</f>
        <v>1</v>
      </c>
      <c r="T7" s="51" t="n">
        <f aca="false">IF(J7="STALE","",IF(F7&lt;=0,0,ROUND(S7*'Demand Framework'!$C$25,2)))</f>
        <v>100</v>
      </c>
      <c r="U7" s="52" t="str">
        <f aca="false">IF(T7="","STALE",INDEX('Demand Framework'!$A$28:$A$32,MATCH(T7,'Demand Framework'!$C$28:$C$32,1)))</f>
        <v>CRITICAL</v>
      </c>
      <c r="V7" s="22" t="n">
        <v>100</v>
      </c>
      <c r="W7" s="53" t="n">
        <f aca="false">IF(OR(V7="",T7=""),"",T7-V7)</f>
        <v>0</v>
      </c>
      <c r="X7" s="26" t="str">
        <f aca="false">IF(V7="","n/a",IF(T7="","",IF(ABS(W7)&lt;=0.1,"Ties","DIFFERS")))</f>
        <v>Ties</v>
      </c>
    </row>
    <row r="8" customFormat="false" ht="15" hidden="false" customHeight="false" outlineLevel="0" collapsed="false">
      <c r="A8" s="15" t="s">
        <v>211</v>
      </c>
      <c r="B8" s="16" t="s">
        <v>212</v>
      </c>
      <c r="C8" s="16" t="s">
        <v>213</v>
      </c>
      <c r="D8" s="46" t="s">
        <v>210</v>
      </c>
      <c r="E8" s="47" t="n">
        <v>30</v>
      </c>
      <c r="F8" s="47" t="n">
        <v>26</v>
      </c>
      <c r="G8" s="47" t="n">
        <v>540</v>
      </c>
      <c r="H8" s="47" t="n">
        <v>1</v>
      </c>
      <c r="I8" s="47" t="n">
        <v>12</v>
      </c>
      <c r="J8" s="48" t="str">
        <f aca="false">IF(E8&gt;'Demand Framework'!$C$24,"STALE","OK")</f>
        <v>OK</v>
      </c>
      <c r="K8" s="49" t="n">
        <f aca="false">MIN(F8/'Demand Framework'!$C$16,1)</f>
        <v>1</v>
      </c>
      <c r="L8" s="49" t="n">
        <f aca="false">MIN(G8/'Demand Framework'!$C$17,1)</f>
        <v>1</v>
      </c>
      <c r="M8" s="50" t="n">
        <f aca="false">IF(I8&lt;=0,1,MAX(0,MIN(1,1-H8/I8)))</f>
        <v>0.916666666666667</v>
      </c>
      <c r="N8" s="49" t="n">
        <f aca="false">MIN(F8*'Demand Framework'!$C$23/'Demand Framework'!$C$19,1)</f>
        <v>1</v>
      </c>
      <c r="O8" s="49" t="n">
        <f aca="false">K8*'Demand Framework'!$E$16</f>
        <v>0.35</v>
      </c>
      <c r="P8" s="49" t="n">
        <f aca="false">L8*'Demand Framework'!$E$17</f>
        <v>0.35</v>
      </c>
      <c r="Q8" s="49" t="n">
        <f aca="false">M8*'Demand Framework'!$E$18</f>
        <v>0.183333333333333</v>
      </c>
      <c r="R8" s="49" t="n">
        <f aca="false">N8*'Demand Framework'!$E$19</f>
        <v>0.1</v>
      </c>
      <c r="S8" s="49" t="n">
        <f aca="false">SUM(O8:R8)/'Demand Framework'!$E$20</f>
        <v>0.983333333333333</v>
      </c>
      <c r="T8" s="51" t="n">
        <f aca="false">IF(J8="STALE","",IF(F8&lt;=0,0,ROUND(S8*'Demand Framework'!$C$25,2)))</f>
        <v>98.33</v>
      </c>
      <c r="U8" s="52" t="str">
        <f aca="false">IF(T8="","STALE",INDEX('Demand Framework'!$A$28:$A$32,MATCH(T8,'Demand Framework'!$C$28:$C$32,1)))</f>
        <v>CRITICAL</v>
      </c>
      <c r="V8" s="22" t="n">
        <v>98.3</v>
      </c>
      <c r="W8" s="53" t="n">
        <f aca="false">IF(OR(V8="",T8=""),"",T8-V8)</f>
        <v>0.0300000000000011</v>
      </c>
      <c r="X8" s="26" t="str">
        <f aca="false">IF(V8="","n/a",IF(T8="","",IF(ABS(W8)&lt;=0.1,"Ties","DIFFERS")))</f>
        <v>Ties</v>
      </c>
    </row>
    <row r="9" customFormat="false" ht="15" hidden="false" customHeight="false" outlineLevel="0" collapsed="false">
      <c r="A9" s="15" t="s">
        <v>214</v>
      </c>
      <c r="B9" s="16" t="s">
        <v>215</v>
      </c>
      <c r="C9" s="16" t="s">
        <v>206</v>
      </c>
      <c r="D9" s="46" t="s">
        <v>210</v>
      </c>
      <c r="E9" s="47" t="n">
        <v>30</v>
      </c>
      <c r="F9" s="47" t="n">
        <v>19</v>
      </c>
      <c r="G9" s="47" t="n">
        <v>392</v>
      </c>
      <c r="H9" s="47" t="n">
        <v>1</v>
      </c>
      <c r="I9" s="47" t="n">
        <v>14</v>
      </c>
      <c r="J9" s="48" t="str">
        <f aca="false">IF(E9&gt;'Demand Framework'!$C$24,"STALE","OK")</f>
        <v>OK</v>
      </c>
      <c r="K9" s="49" t="n">
        <f aca="false">MIN(F9/'Demand Framework'!$C$16,1)</f>
        <v>1</v>
      </c>
      <c r="L9" s="49" t="n">
        <f aca="false">MIN(G9/'Demand Framework'!$C$17,1)</f>
        <v>1</v>
      </c>
      <c r="M9" s="50" t="n">
        <f aca="false">IF(I9&lt;=0,1,MAX(0,MIN(1,1-H9/I9)))</f>
        <v>0.928571428571429</v>
      </c>
      <c r="N9" s="49" t="n">
        <f aca="false">MIN(F9*'Demand Framework'!$C$23/'Demand Framework'!$C$19,1)</f>
        <v>1</v>
      </c>
      <c r="O9" s="49" t="n">
        <f aca="false">K9*'Demand Framework'!$E$16</f>
        <v>0.35</v>
      </c>
      <c r="P9" s="49" t="n">
        <f aca="false">L9*'Demand Framework'!$E$17</f>
        <v>0.35</v>
      </c>
      <c r="Q9" s="49" t="n">
        <f aca="false">M9*'Demand Framework'!$E$18</f>
        <v>0.185714285714286</v>
      </c>
      <c r="R9" s="49" t="n">
        <f aca="false">N9*'Demand Framework'!$E$19</f>
        <v>0.1</v>
      </c>
      <c r="S9" s="49" t="n">
        <f aca="false">SUM(O9:R9)/'Demand Framework'!$E$20</f>
        <v>0.985714285714286</v>
      </c>
      <c r="T9" s="51" t="n">
        <f aca="false">IF(J9="STALE","",IF(F9&lt;=0,0,ROUND(S9*'Demand Framework'!$C$25,2)))</f>
        <v>98.57</v>
      </c>
      <c r="U9" s="52" t="str">
        <f aca="false">IF(T9="","STALE",INDEX('Demand Framework'!$A$28:$A$32,MATCH(T9,'Demand Framework'!$C$28:$C$32,1)))</f>
        <v>CRITICAL</v>
      </c>
      <c r="V9" s="22" t="n">
        <v>90.4</v>
      </c>
      <c r="W9" s="53" t="n">
        <f aca="false">IF(OR(V9="",T9=""),"",T9-V9)</f>
        <v>8.16999999999999</v>
      </c>
      <c r="X9" s="26" t="str">
        <f aca="false">IF(V9="","n/a",IF(T9="","",IF(ABS(W9)&lt;=0.1,"Ties","DIFFERS")))</f>
        <v>DIFFERS</v>
      </c>
    </row>
    <row r="10" customFormat="false" ht="15" hidden="false" customHeight="false" outlineLevel="0" collapsed="false">
      <c r="A10" s="15" t="s">
        <v>216</v>
      </c>
      <c r="B10" s="16" t="s">
        <v>217</v>
      </c>
      <c r="C10" s="16" t="s">
        <v>218</v>
      </c>
      <c r="D10" s="46" t="s">
        <v>210</v>
      </c>
      <c r="E10" s="47" t="n">
        <v>30</v>
      </c>
      <c r="F10" s="47" t="n">
        <v>16</v>
      </c>
      <c r="G10" s="47" t="n">
        <v>327</v>
      </c>
      <c r="H10" s="47" t="n">
        <v>1</v>
      </c>
      <c r="I10" s="47" t="n">
        <v>10</v>
      </c>
      <c r="J10" s="48" t="str">
        <f aca="false">IF(E10&gt;'Demand Framework'!$C$24,"STALE","OK")</f>
        <v>OK</v>
      </c>
      <c r="K10" s="49" t="n">
        <f aca="false">MIN(F10/'Demand Framework'!$C$16,1)</f>
        <v>1</v>
      </c>
      <c r="L10" s="49" t="n">
        <f aca="false">MIN(G10/'Demand Framework'!$C$17,1)</f>
        <v>1</v>
      </c>
      <c r="M10" s="50" t="n">
        <f aca="false">IF(I10&lt;=0,1,MAX(0,MIN(1,1-H10/I10)))</f>
        <v>0.9</v>
      </c>
      <c r="N10" s="49" t="n">
        <f aca="false">MIN(F10*'Demand Framework'!$C$23/'Demand Framework'!$C$19,1)</f>
        <v>1</v>
      </c>
      <c r="O10" s="49" t="n">
        <f aca="false">K10*'Demand Framework'!$E$16</f>
        <v>0.35</v>
      </c>
      <c r="P10" s="49" t="n">
        <f aca="false">L10*'Demand Framework'!$E$17</f>
        <v>0.35</v>
      </c>
      <c r="Q10" s="49" t="n">
        <f aca="false">M10*'Demand Framework'!$E$18</f>
        <v>0.18</v>
      </c>
      <c r="R10" s="49" t="n">
        <f aca="false">N10*'Demand Framework'!$E$19</f>
        <v>0.1</v>
      </c>
      <c r="S10" s="49" t="n">
        <f aca="false">SUM(O10:R10)/'Demand Framework'!$E$20</f>
        <v>0.98</v>
      </c>
      <c r="T10" s="51" t="n">
        <f aca="false">IF(J10="STALE","",IF(F10&lt;=0,0,ROUND(S10*'Demand Framework'!$C$25,2)))</f>
        <v>98</v>
      </c>
      <c r="U10" s="52" t="str">
        <f aca="false">IF(T10="","STALE",INDEX('Demand Framework'!$A$28:$A$32,MATCH(T10,'Demand Framework'!$C$28:$C$32,1)))</f>
        <v>CRITICAL</v>
      </c>
      <c r="V10" s="22" t="n">
        <v>78.3</v>
      </c>
      <c r="W10" s="53" t="n">
        <f aca="false">IF(OR(V10="",T10=""),"",T10-V10)</f>
        <v>19.7</v>
      </c>
      <c r="X10" s="26" t="str">
        <f aca="false">IF(V10="","n/a",IF(T10="","",IF(ABS(W10)&lt;=0.1,"Ties","DIFFERS")))</f>
        <v>DIFFERS</v>
      </c>
    </row>
    <row r="11" customFormat="false" ht="15" hidden="false" customHeight="false" outlineLevel="0" collapsed="false">
      <c r="A11" s="15" t="s">
        <v>219</v>
      </c>
      <c r="B11" s="16" t="s">
        <v>220</v>
      </c>
      <c r="C11" s="16" t="s">
        <v>221</v>
      </c>
      <c r="D11" s="46" t="s">
        <v>210</v>
      </c>
      <c r="E11" s="47" t="n">
        <v>30</v>
      </c>
      <c r="F11" s="47" t="n">
        <v>8</v>
      </c>
      <c r="G11" s="47" t="n">
        <v>164</v>
      </c>
      <c r="H11" s="47" t="n">
        <v>3</v>
      </c>
      <c r="I11" s="47" t="n">
        <v>13</v>
      </c>
      <c r="J11" s="48" t="str">
        <f aca="false">IF(E11&gt;'Demand Framework'!$C$24,"STALE","OK")</f>
        <v>OK</v>
      </c>
      <c r="K11" s="49" t="n">
        <f aca="false">MIN(F11/'Demand Framework'!$C$16,1)</f>
        <v>0.8</v>
      </c>
      <c r="L11" s="49" t="n">
        <f aca="false">MIN(G11/'Demand Framework'!$C$17,1)</f>
        <v>0.546666666666667</v>
      </c>
      <c r="M11" s="50" t="n">
        <f aca="false">IF(I11&lt;=0,1,MAX(0,MIN(1,1-H11/I11)))</f>
        <v>0.769230769230769</v>
      </c>
      <c r="N11" s="49" t="n">
        <f aca="false">MIN(F11*'Demand Framework'!$C$23/'Demand Framework'!$C$19,1)</f>
        <v>1</v>
      </c>
      <c r="O11" s="49" t="n">
        <f aca="false">K11*'Demand Framework'!$E$16</f>
        <v>0.28</v>
      </c>
      <c r="P11" s="49" t="n">
        <f aca="false">L11*'Demand Framework'!$E$17</f>
        <v>0.191333333333333</v>
      </c>
      <c r="Q11" s="49" t="n">
        <f aca="false">M11*'Demand Framework'!$E$18</f>
        <v>0.153846153846154</v>
      </c>
      <c r="R11" s="49" t="n">
        <f aca="false">N11*'Demand Framework'!$E$19</f>
        <v>0.1</v>
      </c>
      <c r="S11" s="49" t="n">
        <f aca="false">SUM(O11:R11)/'Demand Framework'!$E$20</f>
        <v>0.725179487179487</v>
      </c>
      <c r="T11" s="51" t="n">
        <f aca="false">IF(J11="STALE","",IF(F11&lt;=0,0,ROUND(S11*'Demand Framework'!$C$25,2)))</f>
        <v>72.52</v>
      </c>
      <c r="U11" s="52" t="str">
        <f aca="false">IF(T11="","STALE",INDEX('Demand Framework'!$A$28:$A$32,MATCH(T11,'Demand Framework'!$C$28:$C$32,1)))</f>
        <v>MEDIUM</v>
      </c>
      <c r="V11" s="22" t="n">
        <v>45.6</v>
      </c>
      <c r="W11" s="53" t="n">
        <f aca="false">IF(OR(V11="",T11=""),"",T11-V11)</f>
        <v>26.92</v>
      </c>
      <c r="X11" s="26" t="str">
        <f aca="false">IF(V11="","n/a",IF(T11="","",IF(ABS(W11)&lt;=0.1,"Ties","DIFFERS")))</f>
        <v>DIFFERS</v>
      </c>
    </row>
    <row r="12" customFormat="false" ht="15" hidden="false" customHeight="false" outlineLevel="0" collapsed="false">
      <c r="A12" s="15" t="s">
        <v>222</v>
      </c>
      <c r="B12" s="16" t="s">
        <v>223</v>
      </c>
      <c r="C12" s="16" t="s">
        <v>206</v>
      </c>
      <c r="D12" s="46" t="s">
        <v>210</v>
      </c>
      <c r="E12" s="47" t="n">
        <v>30</v>
      </c>
      <c r="F12" s="47" t="n">
        <v>6</v>
      </c>
      <c r="G12" s="47" t="n">
        <v>122</v>
      </c>
      <c r="H12" s="47" t="n">
        <v>3</v>
      </c>
      <c r="I12" s="47" t="n">
        <v>11</v>
      </c>
      <c r="J12" s="48" t="str">
        <f aca="false">IF(E12&gt;'Demand Framework'!$C$24,"STALE","OK")</f>
        <v>OK</v>
      </c>
      <c r="K12" s="49" t="n">
        <f aca="false">MIN(F12/'Demand Framework'!$C$16,1)</f>
        <v>0.6</v>
      </c>
      <c r="L12" s="49" t="n">
        <f aca="false">MIN(G12/'Demand Framework'!$C$17,1)</f>
        <v>0.406666666666667</v>
      </c>
      <c r="M12" s="50" t="n">
        <f aca="false">IF(I12&lt;=0,1,MAX(0,MIN(1,1-H12/I12)))</f>
        <v>0.727272727272727</v>
      </c>
      <c r="N12" s="49" t="n">
        <f aca="false">MIN(F12*'Demand Framework'!$C$23/'Demand Framework'!$C$19,1)</f>
        <v>1</v>
      </c>
      <c r="O12" s="49" t="n">
        <f aca="false">K12*'Demand Framework'!$E$16</f>
        <v>0.21</v>
      </c>
      <c r="P12" s="49" t="n">
        <f aca="false">L12*'Demand Framework'!$E$17</f>
        <v>0.142333333333333</v>
      </c>
      <c r="Q12" s="49" t="n">
        <f aca="false">M12*'Demand Framework'!$E$18</f>
        <v>0.145454545454545</v>
      </c>
      <c r="R12" s="49" t="n">
        <f aca="false">N12*'Demand Framework'!$E$19</f>
        <v>0.1</v>
      </c>
      <c r="S12" s="49" t="n">
        <f aca="false">SUM(O12:R12)/'Demand Framework'!$E$20</f>
        <v>0.597787878787879</v>
      </c>
      <c r="T12" s="51" t="n">
        <f aca="false">IF(J12="STALE","",IF(F12&lt;=0,0,ROUND(S12*'Demand Framework'!$C$25,2)))</f>
        <v>59.78</v>
      </c>
      <c r="U12" s="52" t="str">
        <f aca="false">IF(T12="","STALE",INDEX('Demand Framework'!$A$28:$A$32,MATCH(T12,'Demand Framework'!$C$28:$C$32,1)))</f>
        <v>MEDIUM</v>
      </c>
      <c r="V12" s="22" t="n">
        <v>37.1</v>
      </c>
      <c r="W12" s="53" t="n">
        <f aca="false">IF(OR(V12="",T12=""),"",T12-V12)</f>
        <v>22.68</v>
      </c>
      <c r="X12" s="26" t="str">
        <f aca="false">IF(V12="","n/a",IF(T12="","",IF(ABS(W12)&lt;=0.1,"Ties","DIFFERS")))</f>
        <v>DIFFERS</v>
      </c>
    </row>
    <row r="13" customFormat="false" ht="15" hidden="false" customHeight="false" outlineLevel="0" collapsed="false">
      <c r="A13" s="15" t="s">
        <v>224</v>
      </c>
      <c r="B13" s="16" t="s">
        <v>225</v>
      </c>
      <c r="C13" s="16" t="s">
        <v>206</v>
      </c>
      <c r="D13" s="46" t="s">
        <v>210</v>
      </c>
      <c r="E13" s="47" t="n">
        <v>30</v>
      </c>
      <c r="F13" s="47" t="n">
        <v>4</v>
      </c>
      <c r="G13" s="47" t="n">
        <v>84</v>
      </c>
      <c r="H13" s="47" t="n">
        <v>3</v>
      </c>
      <c r="I13" s="47" t="n">
        <v>7</v>
      </c>
      <c r="J13" s="48" t="str">
        <f aca="false">IF(E13&gt;'Demand Framework'!$C$24,"STALE","OK")</f>
        <v>OK</v>
      </c>
      <c r="K13" s="49" t="n">
        <f aca="false">MIN(F13/'Demand Framework'!$C$16,1)</f>
        <v>0.4</v>
      </c>
      <c r="L13" s="49" t="n">
        <f aca="false">MIN(G13/'Demand Framework'!$C$17,1)</f>
        <v>0.28</v>
      </c>
      <c r="M13" s="50" t="n">
        <f aca="false">IF(I13&lt;=0,1,MAX(0,MIN(1,1-H13/I13)))</f>
        <v>0.571428571428571</v>
      </c>
      <c r="N13" s="49" t="n">
        <f aca="false">MIN(F13*'Demand Framework'!$C$23/'Demand Framework'!$C$19,1)</f>
        <v>1</v>
      </c>
      <c r="O13" s="49" t="n">
        <f aca="false">K13*'Demand Framework'!$E$16</f>
        <v>0.14</v>
      </c>
      <c r="P13" s="49" t="n">
        <f aca="false">L13*'Demand Framework'!$E$17</f>
        <v>0.098</v>
      </c>
      <c r="Q13" s="49" t="n">
        <f aca="false">M13*'Demand Framework'!$E$18</f>
        <v>0.114285714285714</v>
      </c>
      <c r="R13" s="49" t="n">
        <f aca="false">N13*'Demand Framework'!$E$19</f>
        <v>0.1</v>
      </c>
      <c r="S13" s="49" t="n">
        <f aca="false">SUM(O13:R13)/'Demand Framework'!$E$20</f>
        <v>0.452285714285714</v>
      </c>
      <c r="T13" s="51" t="n">
        <f aca="false">IF(J13="STALE","",IF(F13&lt;=0,0,ROUND(S13*'Demand Framework'!$C$25,2)))</f>
        <v>45.23</v>
      </c>
      <c r="U13" s="52" t="str">
        <f aca="false">IF(T13="","STALE",INDEX('Demand Framework'!$A$28:$A$32,MATCH(T13,'Demand Framework'!$C$28:$C$32,1)))</f>
        <v>LOW</v>
      </c>
      <c r="V13" s="22" t="n">
        <v>26.7</v>
      </c>
      <c r="W13" s="53" t="n">
        <f aca="false">IF(OR(V13="",T13=""),"",T13-V13)</f>
        <v>18.53</v>
      </c>
      <c r="X13" s="26" t="str">
        <f aca="false">IF(V13="","n/a",IF(T13="","",IF(ABS(W13)&lt;=0.1,"Ties","DIFFERS")))</f>
        <v>DIFFERS</v>
      </c>
    </row>
    <row r="14" customFormat="false" ht="15" hidden="false" customHeight="false" outlineLevel="0" collapsed="false">
      <c r="A14" s="15" t="s">
        <v>226</v>
      </c>
      <c r="B14" s="16" t="s">
        <v>227</v>
      </c>
      <c r="C14" s="16" t="s">
        <v>218</v>
      </c>
      <c r="D14" s="46" t="s">
        <v>210</v>
      </c>
      <c r="E14" s="47" t="n">
        <v>30</v>
      </c>
      <c r="F14" s="47" t="n">
        <v>3</v>
      </c>
      <c r="G14" s="47" t="n">
        <v>69</v>
      </c>
      <c r="H14" s="47" t="n">
        <v>2</v>
      </c>
      <c r="I14" s="47" t="n">
        <v>6</v>
      </c>
      <c r="J14" s="48" t="str">
        <f aca="false">IF(E14&gt;'Demand Framework'!$C$24,"STALE","OK")</f>
        <v>OK</v>
      </c>
      <c r="K14" s="49" t="n">
        <f aca="false">MIN(F14/'Demand Framework'!$C$16,1)</f>
        <v>0.3</v>
      </c>
      <c r="L14" s="49" t="n">
        <f aca="false">MIN(G14/'Demand Framework'!$C$17,1)</f>
        <v>0.23</v>
      </c>
      <c r="M14" s="50" t="n">
        <f aca="false">IF(I14&lt;=0,1,MAX(0,MIN(1,1-H14/I14)))</f>
        <v>0.666666666666667</v>
      </c>
      <c r="N14" s="49" t="n">
        <f aca="false">MIN(F14*'Demand Framework'!$C$23/'Demand Framework'!$C$19,1)</f>
        <v>1</v>
      </c>
      <c r="O14" s="49" t="n">
        <f aca="false">K14*'Demand Framework'!$E$16</f>
        <v>0.105</v>
      </c>
      <c r="P14" s="49" t="n">
        <f aca="false">L14*'Demand Framework'!$E$17</f>
        <v>0.0805</v>
      </c>
      <c r="Q14" s="49" t="n">
        <f aca="false">M14*'Demand Framework'!$E$18</f>
        <v>0.133333333333333</v>
      </c>
      <c r="R14" s="49" t="n">
        <f aca="false">N14*'Demand Framework'!$E$19</f>
        <v>0.1</v>
      </c>
      <c r="S14" s="49" t="n">
        <f aca="false">SUM(O14:R14)/'Demand Framework'!$E$20</f>
        <v>0.418833333333333</v>
      </c>
      <c r="T14" s="51" t="n">
        <f aca="false">IF(J14="STALE","",IF(F14&lt;=0,0,ROUND(S14*'Demand Framework'!$C$25,2)))</f>
        <v>41.88</v>
      </c>
      <c r="U14" s="52" t="str">
        <f aca="false">IF(T14="","STALE",INDEX('Demand Framework'!$A$28:$A$32,MATCH(T14,'Demand Framework'!$C$28:$C$32,1)))</f>
        <v>LOW</v>
      </c>
      <c r="V14" s="22" t="n">
        <v>25.2</v>
      </c>
      <c r="W14" s="53" t="n">
        <f aca="false">IF(OR(V14="",T14=""),"",T14-V14)</f>
        <v>16.68</v>
      </c>
      <c r="X14" s="26" t="str">
        <f aca="false">IF(V14="","n/a",IF(T14="","",IF(ABS(W14)&lt;=0.1,"Ties","DIFFERS")))</f>
        <v>DIFFERS</v>
      </c>
    </row>
    <row r="15" customFormat="false" ht="15" hidden="false" customHeight="false" outlineLevel="0" collapsed="false">
      <c r="A15" s="15" t="s">
        <v>228</v>
      </c>
      <c r="B15" s="16" t="s">
        <v>229</v>
      </c>
      <c r="C15" s="16" t="s">
        <v>213</v>
      </c>
      <c r="D15" s="46" t="s">
        <v>210</v>
      </c>
      <c r="E15" s="47" t="n">
        <v>30</v>
      </c>
      <c r="F15" s="47" t="n">
        <v>3</v>
      </c>
      <c r="G15" s="47" t="n">
        <v>69</v>
      </c>
      <c r="H15" s="47" t="n">
        <v>3</v>
      </c>
      <c r="I15" s="47" t="n">
        <v>8</v>
      </c>
      <c r="J15" s="48" t="str">
        <f aca="false">IF(E15&gt;'Demand Framework'!$C$24,"STALE","OK")</f>
        <v>OK</v>
      </c>
      <c r="K15" s="49" t="n">
        <f aca="false">MIN(F15/'Demand Framework'!$C$16,1)</f>
        <v>0.3</v>
      </c>
      <c r="L15" s="49" t="n">
        <f aca="false">MIN(G15/'Demand Framework'!$C$17,1)</f>
        <v>0.23</v>
      </c>
      <c r="M15" s="50" t="n">
        <f aca="false">IF(I15&lt;=0,1,MAX(0,MIN(1,1-H15/I15)))</f>
        <v>0.625</v>
      </c>
      <c r="N15" s="49" t="n">
        <f aca="false">MIN(F15*'Demand Framework'!$C$23/'Demand Framework'!$C$19,1)</f>
        <v>1</v>
      </c>
      <c r="O15" s="49" t="n">
        <f aca="false">K15*'Demand Framework'!$E$16</f>
        <v>0.105</v>
      </c>
      <c r="P15" s="49" t="n">
        <f aca="false">L15*'Demand Framework'!$E$17</f>
        <v>0.0805</v>
      </c>
      <c r="Q15" s="49" t="n">
        <f aca="false">M15*'Demand Framework'!$E$18</f>
        <v>0.125</v>
      </c>
      <c r="R15" s="49" t="n">
        <f aca="false">N15*'Demand Framework'!$E$19</f>
        <v>0.1</v>
      </c>
      <c r="S15" s="49" t="n">
        <f aca="false">SUM(O15:R15)/'Demand Framework'!$E$20</f>
        <v>0.4105</v>
      </c>
      <c r="T15" s="51" t="n">
        <f aca="false">IF(J15="STALE","",IF(F15&lt;=0,0,ROUND(S15*'Demand Framework'!$C$25,2)))</f>
        <v>41.05</v>
      </c>
      <c r="U15" s="52" t="str">
        <f aca="false">IF(T15="","STALE",INDEX('Demand Framework'!$A$28:$A$32,MATCH(T15,'Demand Framework'!$C$28:$C$32,1)))</f>
        <v>LOW</v>
      </c>
      <c r="V15" s="22" t="n">
        <v>24.4</v>
      </c>
      <c r="W15" s="53" t="n">
        <f aca="false">IF(OR(V15="",T15=""),"",T15-V15)</f>
        <v>16.65</v>
      </c>
      <c r="X15" s="26" t="str">
        <f aca="false">IF(V15="","n/a",IF(T15="","",IF(ABS(W15)&lt;=0.1,"Ties","DIFFERS")))</f>
        <v>DIFFERS</v>
      </c>
    </row>
    <row r="16" customFormat="false" ht="15" hidden="false" customHeight="false" outlineLevel="0" collapsed="false">
      <c r="A16" s="15" t="s">
        <v>133</v>
      </c>
      <c r="B16" s="16" t="s">
        <v>215</v>
      </c>
      <c r="C16" s="16" t="s">
        <v>206</v>
      </c>
      <c r="D16" s="46" t="s">
        <v>230</v>
      </c>
      <c r="E16" s="47" t="n">
        <v>30</v>
      </c>
      <c r="F16" s="47" t="n">
        <v>25</v>
      </c>
      <c r="G16" s="47" t="n">
        <v>527</v>
      </c>
      <c r="H16" s="47" t="n">
        <v>1</v>
      </c>
      <c r="I16" s="47" t="n">
        <v>14</v>
      </c>
      <c r="J16" s="48" t="str">
        <f aca="false">IF(E16&gt;'Demand Framework'!$C$24,"STALE","OK")</f>
        <v>OK</v>
      </c>
      <c r="K16" s="49" t="n">
        <f aca="false">MIN(F16/'Demand Framework'!$C$16,1)</f>
        <v>1</v>
      </c>
      <c r="L16" s="49" t="n">
        <f aca="false">MIN(G16/'Demand Framework'!$C$17,1)</f>
        <v>1</v>
      </c>
      <c r="M16" s="50" t="n">
        <f aca="false">IF(I16&lt;=0,1,MAX(0,MIN(1,1-H16/I16)))</f>
        <v>0.928571428571429</v>
      </c>
      <c r="N16" s="49" t="n">
        <f aca="false">MIN(F16*'Demand Framework'!$C$23/'Demand Framework'!$C$19,1)</f>
        <v>1</v>
      </c>
      <c r="O16" s="49" t="n">
        <f aca="false">K16*'Demand Framework'!$E$16</f>
        <v>0.35</v>
      </c>
      <c r="P16" s="49" t="n">
        <f aca="false">L16*'Demand Framework'!$E$17</f>
        <v>0.35</v>
      </c>
      <c r="Q16" s="49" t="n">
        <f aca="false">M16*'Demand Framework'!$E$18</f>
        <v>0.185714285714286</v>
      </c>
      <c r="R16" s="49" t="n">
        <f aca="false">N16*'Demand Framework'!$E$19</f>
        <v>0.1</v>
      </c>
      <c r="S16" s="49" t="n">
        <f aca="false">SUM(O16:R16)/'Demand Framework'!$E$20</f>
        <v>0.985714285714286</v>
      </c>
      <c r="T16" s="51" t="n">
        <f aca="false">IF(J16="STALE","",IF(F16&lt;=0,0,ROUND(S16*'Demand Framework'!$C$25,2)))</f>
        <v>98.57</v>
      </c>
      <c r="U16" s="52" t="str">
        <f aca="false">IF(T16="","STALE",INDEX('Demand Framework'!$A$28:$A$32,MATCH(T16,'Demand Framework'!$C$28:$C$32,1)))</f>
        <v>CRITICAL</v>
      </c>
      <c r="V16" s="22" t="n">
        <v>98.6</v>
      </c>
      <c r="W16" s="53" t="n">
        <f aca="false">IF(OR(V16="",T16=""),"",T16-V16)</f>
        <v>-0.0300000000000011</v>
      </c>
      <c r="X16" s="26" t="str">
        <f aca="false">IF(V16="","n/a",IF(T16="","",IF(ABS(W16)&lt;=0.1,"Ties","DIFFERS")))</f>
        <v>Ties</v>
      </c>
    </row>
    <row r="17" customFormat="false" ht="15" hidden="false" customHeight="false" outlineLevel="0" collapsed="false">
      <c r="A17" s="15" t="s">
        <v>231</v>
      </c>
      <c r="B17" s="16" t="s">
        <v>220</v>
      </c>
      <c r="C17" s="16" t="s">
        <v>221</v>
      </c>
      <c r="D17" s="46" t="s">
        <v>230</v>
      </c>
      <c r="E17" s="47" t="n">
        <v>30</v>
      </c>
      <c r="F17" s="47" t="n">
        <v>20</v>
      </c>
      <c r="G17" s="47" t="n">
        <v>408</v>
      </c>
      <c r="H17" s="47" t="n">
        <v>1</v>
      </c>
      <c r="I17" s="47" t="n">
        <v>13</v>
      </c>
      <c r="J17" s="48" t="str">
        <f aca="false">IF(E17&gt;'Demand Framework'!$C$24,"STALE","OK")</f>
        <v>OK</v>
      </c>
      <c r="K17" s="49" t="n">
        <f aca="false">MIN(F17/'Demand Framework'!$C$16,1)</f>
        <v>1</v>
      </c>
      <c r="L17" s="49" t="n">
        <f aca="false">MIN(G17/'Demand Framework'!$C$17,1)</f>
        <v>1</v>
      </c>
      <c r="M17" s="50" t="n">
        <f aca="false">IF(I17&lt;=0,1,MAX(0,MIN(1,1-H17/I17)))</f>
        <v>0.923076923076923</v>
      </c>
      <c r="N17" s="49" t="n">
        <f aca="false">MIN(F17*'Demand Framework'!$C$23/'Demand Framework'!$C$19,1)</f>
        <v>1</v>
      </c>
      <c r="O17" s="49" t="n">
        <f aca="false">K17*'Demand Framework'!$E$16</f>
        <v>0.35</v>
      </c>
      <c r="P17" s="49" t="n">
        <f aca="false">L17*'Demand Framework'!$E$17</f>
        <v>0.35</v>
      </c>
      <c r="Q17" s="49" t="n">
        <f aca="false">M17*'Demand Framework'!$E$18</f>
        <v>0.184615384615385</v>
      </c>
      <c r="R17" s="49" t="n">
        <f aca="false">N17*'Demand Framework'!$E$19</f>
        <v>0.1</v>
      </c>
      <c r="S17" s="49" t="n">
        <f aca="false">SUM(O17:R17)/'Demand Framework'!$E$20</f>
        <v>0.984615384615385</v>
      </c>
      <c r="T17" s="51" t="n">
        <f aca="false">IF(J17="STALE","",IF(F17&lt;=0,0,ROUND(S17*'Demand Framework'!$C$25,2)))</f>
        <v>98.46</v>
      </c>
      <c r="U17" s="52" t="str">
        <f aca="false">IF(T17="","STALE",INDEX('Demand Framework'!$A$28:$A$32,MATCH(T17,'Demand Framework'!$C$28:$C$32,1)))</f>
        <v>CRITICAL</v>
      </c>
      <c r="V17" s="22" t="n">
        <v>93.2</v>
      </c>
      <c r="W17" s="53" t="n">
        <f aca="false">IF(OR(V17="",T17=""),"",T17-V17)</f>
        <v>5.25999999999999</v>
      </c>
      <c r="X17" s="26" t="str">
        <f aca="false">IF(V17="","n/a",IF(T17="","",IF(ABS(W17)&lt;=0.1,"Ties","DIFFERS")))</f>
        <v>DIFFERS</v>
      </c>
    </row>
    <row r="18" customFormat="false" ht="15" hidden="false" customHeight="false" outlineLevel="0" collapsed="false">
      <c r="A18" s="15" t="s">
        <v>232</v>
      </c>
      <c r="B18" s="16" t="s">
        <v>212</v>
      </c>
      <c r="C18" s="16" t="s">
        <v>213</v>
      </c>
      <c r="D18" s="46" t="s">
        <v>230</v>
      </c>
      <c r="E18" s="47" t="n">
        <v>30</v>
      </c>
      <c r="F18" s="47" t="n">
        <v>11</v>
      </c>
      <c r="G18" s="47" t="n">
        <v>219</v>
      </c>
      <c r="H18" s="47" t="n">
        <v>2</v>
      </c>
      <c r="I18" s="47" t="n">
        <v>12</v>
      </c>
      <c r="J18" s="48" t="str">
        <f aca="false">IF(E18&gt;'Demand Framework'!$C$24,"STALE","OK")</f>
        <v>OK</v>
      </c>
      <c r="K18" s="49" t="n">
        <f aca="false">MIN(F18/'Demand Framework'!$C$16,1)</f>
        <v>1</v>
      </c>
      <c r="L18" s="49" t="n">
        <f aca="false">MIN(G18/'Demand Framework'!$C$17,1)</f>
        <v>0.73</v>
      </c>
      <c r="M18" s="50" t="n">
        <f aca="false">IF(I18&lt;=0,1,MAX(0,MIN(1,1-H18/I18)))</f>
        <v>0.833333333333333</v>
      </c>
      <c r="N18" s="49" t="n">
        <f aca="false">MIN(F18*'Demand Framework'!$C$23/'Demand Framework'!$C$19,1)</f>
        <v>1</v>
      </c>
      <c r="O18" s="49" t="n">
        <f aca="false">K18*'Demand Framework'!$E$16</f>
        <v>0.35</v>
      </c>
      <c r="P18" s="49" t="n">
        <f aca="false">L18*'Demand Framework'!$E$17</f>
        <v>0.2555</v>
      </c>
      <c r="Q18" s="49" t="n">
        <f aca="false">M18*'Demand Framework'!$E$18</f>
        <v>0.166666666666667</v>
      </c>
      <c r="R18" s="49" t="n">
        <f aca="false">N18*'Demand Framework'!$E$19</f>
        <v>0.1</v>
      </c>
      <c r="S18" s="49" t="n">
        <f aca="false">SUM(O18:R18)/'Demand Framework'!$E$20</f>
        <v>0.872166666666667</v>
      </c>
      <c r="T18" s="51" t="n">
        <f aca="false">IF(J18="STALE","",IF(F18&lt;=0,0,ROUND(S18*'Demand Framework'!$C$25,2)))</f>
        <v>87.22</v>
      </c>
      <c r="U18" s="52" t="str">
        <f aca="false">IF(T18="","STALE",INDEX('Demand Framework'!$A$28:$A$32,MATCH(T18,'Demand Framework'!$C$28:$C$32,1)))</f>
        <v>HIGH</v>
      </c>
      <c r="V18" s="22" t="n">
        <v>57.7</v>
      </c>
      <c r="W18" s="53" t="n">
        <f aca="false">IF(OR(V18="",T18=""),"",T18-V18)</f>
        <v>29.52</v>
      </c>
      <c r="X18" s="26" t="str">
        <f aca="false">IF(V18="","n/a",IF(T18="","",IF(ABS(W18)&lt;=0.1,"Ties","DIFFERS")))</f>
        <v>DIFFERS</v>
      </c>
    </row>
    <row r="19" customFormat="false" ht="15" hidden="false" customHeight="false" outlineLevel="0" collapsed="false">
      <c r="A19" s="15" t="s">
        <v>233</v>
      </c>
      <c r="B19" s="16" t="s">
        <v>223</v>
      </c>
      <c r="C19" s="16" t="s">
        <v>206</v>
      </c>
      <c r="D19" s="46" t="s">
        <v>230</v>
      </c>
      <c r="E19" s="47" t="n">
        <v>30</v>
      </c>
      <c r="F19" s="47" t="n">
        <v>10</v>
      </c>
      <c r="G19" s="47" t="n">
        <v>210</v>
      </c>
      <c r="H19" s="47" t="n">
        <v>2</v>
      </c>
      <c r="I19" s="47" t="n">
        <v>11</v>
      </c>
      <c r="J19" s="48" t="str">
        <f aca="false">IF(E19&gt;'Demand Framework'!$C$24,"STALE","OK")</f>
        <v>OK</v>
      </c>
      <c r="K19" s="49" t="n">
        <f aca="false">MIN(F19/'Demand Framework'!$C$16,1)</f>
        <v>1</v>
      </c>
      <c r="L19" s="49" t="n">
        <f aca="false">MIN(G19/'Demand Framework'!$C$17,1)</f>
        <v>0.7</v>
      </c>
      <c r="M19" s="50" t="n">
        <f aca="false">IF(I19&lt;=0,1,MAX(0,MIN(1,1-H19/I19)))</f>
        <v>0.818181818181818</v>
      </c>
      <c r="N19" s="49" t="n">
        <f aca="false">MIN(F19*'Demand Framework'!$C$23/'Demand Framework'!$C$19,1)</f>
        <v>1</v>
      </c>
      <c r="O19" s="49" t="n">
        <f aca="false">K19*'Demand Framework'!$E$16</f>
        <v>0.35</v>
      </c>
      <c r="P19" s="49" t="n">
        <f aca="false">L19*'Demand Framework'!$E$17</f>
        <v>0.245</v>
      </c>
      <c r="Q19" s="49" t="n">
        <f aca="false">M19*'Demand Framework'!$E$18</f>
        <v>0.163636363636364</v>
      </c>
      <c r="R19" s="49" t="n">
        <f aca="false">N19*'Demand Framework'!$E$19</f>
        <v>0.1</v>
      </c>
      <c r="S19" s="49" t="n">
        <f aca="false">SUM(O19:R19)/'Demand Framework'!$E$20</f>
        <v>0.858636363636364</v>
      </c>
      <c r="T19" s="51" t="n">
        <f aca="false">IF(J19="STALE","",IF(F19&lt;=0,0,ROUND(S19*'Demand Framework'!$C$25,2)))</f>
        <v>85.86</v>
      </c>
      <c r="U19" s="52" t="str">
        <f aca="false">IF(T19="","STALE",INDEX('Demand Framework'!$A$28:$A$32,MATCH(T19,'Demand Framework'!$C$28:$C$32,1)))</f>
        <v>HIGH</v>
      </c>
      <c r="V19" s="22" t="n">
        <v>54.5</v>
      </c>
      <c r="W19" s="53" t="n">
        <f aca="false">IF(OR(V19="",T19=""),"",T19-V19)</f>
        <v>31.36</v>
      </c>
      <c r="X19" s="26" t="str">
        <f aca="false">IF(V19="","n/a",IF(T19="","",IF(ABS(W19)&lt;=0.1,"Ties","DIFFERS")))</f>
        <v>DIFFERS</v>
      </c>
    </row>
    <row r="20" customFormat="false" ht="15" hidden="false" customHeight="false" outlineLevel="0" collapsed="false">
      <c r="A20" s="15" t="s">
        <v>234</v>
      </c>
      <c r="B20" s="16" t="s">
        <v>209</v>
      </c>
      <c r="C20" s="16" t="s">
        <v>206</v>
      </c>
      <c r="D20" s="46" t="s">
        <v>230</v>
      </c>
      <c r="E20" s="47" t="n">
        <v>30</v>
      </c>
      <c r="F20" s="47" t="n">
        <v>10</v>
      </c>
      <c r="G20" s="47" t="n">
        <v>198</v>
      </c>
      <c r="H20" s="47" t="n">
        <v>2</v>
      </c>
      <c r="I20" s="47" t="n">
        <v>9</v>
      </c>
      <c r="J20" s="48" t="str">
        <f aca="false">IF(E20&gt;'Demand Framework'!$C$24,"STALE","OK")</f>
        <v>OK</v>
      </c>
      <c r="K20" s="49" t="n">
        <f aca="false">MIN(F20/'Demand Framework'!$C$16,1)</f>
        <v>1</v>
      </c>
      <c r="L20" s="49" t="n">
        <f aca="false">MIN(G20/'Demand Framework'!$C$17,1)</f>
        <v>0.66</v>
      </c>
      <c r="M20" s="50" t="n">
        <f aca="false">IF(I20&lt;=0,1,MAX(0,MIN(1,1-H20/I20)))</f>
        <v>0.777777777777778</v>
      </c>
      <c r="N20" s="49" t="n">
        <f aca="false">MIN(F20*'Demand Framework'!$C$23/'Demand Framework'!$C$19,1)</f>
        <v>1</v>
      </c>
      <c r="O20" s="49" t="n">
        <f aca="false">K20*'Demand Framework'!$E$16</f>
        <v>0.35</v>
      </c>
      <c r="P20" s="49" t="n">
        <f aca="false">L20*'Demand Framework'!$E$17</f>
        <v>0.231</v>
      </c>
      <c r="Q20" s="49" t="n">
        <f aca="false">M20*'Demand Framework'!$E$18</f>
        <v>0.155555555555556</v>
      </c>
      <c r="R20" s="49" t="n">
        <f aca="false">N20*'Demand Framework'!$E$19</f>
        <v>0.1</v>
      </c>
      <c r="S20" s="49" t="n">
        <f aca="false">SUM(O20:R20)/'Demand Framework'!$E$20</f>
        <v>0.836555555555556</v>
      </c>
      <c r="T20" s="51" t="n">
        <f aca="false">IF(J20="STALE","",IF(F20&lt;=0,0,ROUND(S20*'Demand Framework'!$C$25,2)))</f>
        <v>83.66</v>
      </c>
      <c r="U20" s="52" t="str">
        <f aca="false">IF(T20="","STALE",INDEX('Demand Framework'!$A$28:$A$32,MATCH(T20,'Demand Framework'!$C$28:$C$32,1)))</f>
        <v>HIGH</v>
      </c>
      <c r="V20" s="22" t="n">
        <v>52.8</v>
      </c>
      <c r="W20" s="53" t="n">
        <f aca="false">IF(OR(V20="",T20=""),"",T20-V20)</f>
        <v>30.86</v>
      </c>
      <c r="X20" s="26" t="str">
        <f aca="false">IF(V20="","n/a",IF(T20="","",IF(ABS(W20)&lt;=0.1,"Ties","DIFFERS")))</f>
        <v>DIFFERS</v>
      </c>
    </row>
    <row r="21" customFormat="false" ht="15" hidden="false" customHeight="false" outlineLevel="0" collapsed="false">
      <c r="A21" s="15" t="s">
        <v>235</v>
      </c>
      <c r="B21" s="16" t="s">
        <v>229</v>
      </c>
      <c r="C21" s="16" t="s">
        <v>213</v>
      </c>
      <c r="D21" s="46" t="s">
        <v>230</v>
      </c>
      <c r="E21" s="47" t="n">
        <v>30</v>
      </c>
      <c r="F21" s="47" t="n">
        <v>9</v>
      </c>
      <c r="G21" s="47" t="n">
        <v>183</v>
      </c>
      <c r="H21" s="47" t="n">
        <v>2</v>
      </c>
      <c r="I21" s="47" t="n">
        <v>8</v>
      </c>
      <c r="J21" s="48" t="str">
        <f aca="false">IF(E21&gt;'Demand Framework'!$C$24,"STALE","OK")</f>
        <v>OK</v>
      </c>
      <c r="K21" s="49" t="n">
        <f aca="false">MIN(F21/'Demand Framework'!$C$16,1)</f>
        <v>0.9</v>
      </c>
      <c r="L21" s="49" t="n">
        <f aca="false">MIN(G21/'Demand Framework'!$C$17,1)</f>
        <v>0.61</v>
      </c>
      <c r="M21" s="50" t="n">
        <f aca="false">IF(I21&lt;=0,1,MAX(0,MIN(1,1-H21/I21)))</f>
        <v>0.75</v>
      </c>
      <c r="N21" s="49" t="n">
        <f aca="false">MIN(F21*'Demand Framework'!$C$23/'Demand Framework'!$C$19,1)</f>
        <v>1</v>
      </c>
      <c r="O21" s="49" t="n">
        <f aca="false">K21*'Demand Framework'!$E$16</f>
        <v>0.315</v>
      </c>
      <c r="P21" s="49" t="n">
        <f aca="false">L21*'Demand Framework'!$E$17</f>
        <v>0.2135</v>
      </c>
      <c r="Q21" s="49" t="n">
        <f aca="false">M21*'Demand Framework'!$E$18</f>
        <v>0.15</v>
      </c>
      <c r="R21" s="49" t="n">
        <f aca="false">N21*'Demand Framework'!$E$19</f>
        <v>0.1</v>
      </c>
      <c r="S21" s="49" t="n">
        <f aca="false">SUM(O21:R21)/'Demand Framework'!$E$20</f>
        <v>0.7785</v>
      </c>
      <c r="T21" s="51" t="n">
        <f aca="false">IF(J21="STALE","",IF(F21&lt;=0,0,ROUND(S21*'Demand Framework'!$C$25,2)))</f>
        <v>77.85</v>
      </c>
      <c r="U21" s="52" t="str">
        <f aca="false">IF(T21="","STALE",INDEX('Demand Framework'!$A$28:$A$32,MATCH(T21,'Demand Framework'!$C$28:$C$32,1)))</f>
        <v>HIGH</v>
      </c>
      <c r="V21" s="22" t="n">
        <v>48.8</v>
      </c>
      <c r="W21" s="53" t="n">
        <f aca="false">IF(OR(V21="",T21=""),"",T21-V21)</f>
        <v>29.05</v>
      </c>
      <c r="X21" s="26" t="str">
        <f aca="false">IF(V21="","n/a",IF(T21="","",IF(ABS(W21)&lt;=0.1,"Ties","DIFFERS")))</f>
        <v>DIFFERS</v>
      </c>
    </row>
    <row r="22" customFormat="false" ht="15" hidden="false" customHeight="false" outlineLevel="0" collapsed="false">
      <c r="A22" s="15" t="s">
        <v>236</v>
      </c>
      <c r="B22" s="16" t="s">
        <v>237</v>
      </c>
      <c r="C22" s="16" t="s">
        <v>119</v>
      </c>
      <c r="D22" s="46" t="s">
        <v>238</v>
      </c>
      <c r="E22" s="47" t="n">
        <v>30</v>
      </c>
      <c r="F22" s="47" t="n">
        <v>0</v>
      </c>
      <c r="G22" s="47" t="n">
        <v>0</v>
      </c>
      <c r="H22" s="47" t="n">
        <v>6</v>
      </c>
      <c r="I22" s="47" t="n">
        <v>9</v>
      </c>
      <c r="J22" s="48" t="str">
        <f aca="false">IF(E22&gt;'Demand Framework'!$C$24,"STALE","OK")</f>
        <v>OK</v>
      </c>
      <c r="K22" s="49" t="n">
        <f aca="false">MIN(F22/'Demand Framework'!$C$16,1)</f>
        <v>0</v>
      </c>
      <c r="L22" s="49" t="n">
        <f aca="false">MIN(G22/'Demand Framework'!$C$17,1)</f>
        <v>0</v>
      </c>
      <c r="M22" s="50" t="n">
        <f aca="false">IF(I22&lt;=0,1,MAX(0,MIN(1,1-H22/I22)))</f>
        <v>0.333333333333333</v>
      </c>
      <c r="N22" s="49" t="n">
        <f aca="false">MIN(F22*'Demand Framework'!$C$23/'Demand Framework'!$C$19,1)</f>
        <v>0</v>
      </c>
      <c r="O22" s="49" t="n">
        <f aca="false">K22*'Demand Framework'!$E$16</f>
        <v>0</v>
      </c>
      <c r="P22" s="49" t="n">
        <f aca="false">L22*'Demand Framework'!$E$17</f>
        <v>0</v>
      </c>
      <c r="Q22" s="49" t="n">
        <f aca="false">M22*'Demand Framework'!$E$18</f>
        <v>0.0666666666666667</v>
      </c>
      <c r="R22" s="49" t="n">
        <f aca="false">N22*'Demand Framework'!$E$19</f>
        <v>0</v>
      </c>
      <c r="S22" s="49" t="n">
        <f aca="false">SUM(O22:R22)/'Demand Framework'!$E$20</f>
        <v>0.0666666666666667</v>
      </c>
      <c r="T22" s="51" t="n">
        <f aca="false">IF(J22="STALE","",IF(F22&lt;=0,0,ROUND(S22*'Demand Framework'!$C$25,2)))</f>
        <v>0</v>
      </c>
      <c r="U22" s="52" t="str">
        <f aca="false">IF(T22="","STALE",INDEX('Demand Framework'!$A$28:$A$32,MATCH(T22,'Demand Framework'!$C$28:$C$32,1)))</f>
        <v>NORMAL</v>
      </c>
      <c r="V22" s="22"/>
      <c r="W22" s="53" t="str">
        <f aca="false">IF(OR(V22="",T22=""),"",T22-V22)</f>
        <v/>
      </c>
      <c r="X22" s="26" t="str">
        <f aca="false">IF(V22="","n/a",IF(T22="","",IF(ABS(W22)&lt;=0.1,"Ties","DIFFERS")))</f>
        <v>n/a</v>
      </c>
    </row>
    <row r="23" customFormat="false" ht="15" hidden="false" customHeight="false" outlineLevel="0" collapsed="false">
      <c r="A23" s="15" t="s">
        <v>239</v>
      </c>
      <c r="B23" s="16" t="s">
        <v>240</v>
      </c>
      <c r="C23" s="16" t="s">
        <v>119</v>
      </c>
      <c r="D23" s="46" t="s">
        <v>238</v>
      </c>
      <c r="E23" s="47" t="n">
        <v>30</v>
      </c>
      <c r="F23" s="47" t="n">
        <v>1</v>
      </c>
      <c r="G23" s="47" t="n">
        <v>900</v>
      </c>
      <c r="H23" s="47" t="n">
        <v>0</v>
      </c>
      <c r="I23" s="47" t="n">
        <v>4</v>
      </c>
      <c r="J23" s="48" t="str">
        <f aca="false">IF(E23&gt;'Demand Framework'!$C$24,"STALE","OK")</f>
        <v>OK</v>
      </c>
      <c r="K23" s="49" t="n">
        <f aca="false">MIN(F23/'Demand Framework'!$C$16,1)</f>
        <v>0.1</v>
      </c>
      <c r="L23" s="49" t="n">
        <f aca="false">MIN(G23/'Demand Framework'!$C$17,1)</f>
        <v>1</v>
      </c>
      <c r="M23" s="50" t="n">
        <f aca="false">IF(I23&lt;=0,1,MAX(0,MIN(1,1-H23/I23)))</f>
        <v>1</v>
      </c>
      <c r="N23" s="49" t="n">
        <f aca="false">MIN(F23*'Demand Framework'!$C$23/'Demand Framework'!$C$19,1)</f>
        <v>0.333333333333333</v>
      </c>
      <c r="O23" s="49" t="n">
        <f aca="false">K23*'Demand Framework'!$E$16</f>
        <v>0.035</v>
      </c>
      <c r="P23" s="49" t="n">
        <f aca="false">L23*'Demand Framework'!$E$17</f>
        <v>0.35</v>
      </c>
      <c r="Q23" s="49" t="n">
        <f aca="false">M23*'Demand Framework'!$E$18</f>
        <v>0.2</v>
      </c>
      <c r="R23" s="49" t="n">
        <f aca="false">N23*'Demand Framework'!$E$19</f>
        <v>0.0333333333333333</v>
      </c>
      <c r="S23" s="49" t="n">
        <f aca="false">SUM(O23:R23)/'Demand Framework'!$E$20</f>
        <v>0.618333333333333</v>
      </c>
      <c r="T23" s="51" t="n">
        <f aca="false">IF(J23="STALE","",IF(F23&lt;=0,0,ROUND(S23*'Demand Framework'!$C$25,2)))</f>
        <v>61.83</v>
      </c>
      <c r="U23" s="52" t="str">
        <f aca="false">IF(T23="","STALE",INDEX('Demand Framework'!$A$28:$A$32,MATCH(T23,'Demand Framework'!$C$28:$C$32,1)))</f>
        <v>MEDIUM</v>
      </c>
      <c r="V23" s="22"/>
      <c r="W23" s="53" t="str">
        <f aca="false">IF(OR(V23="",T23=""),"",T23-V23)</f>
        <v/>
      </c>
      <c r="X23" s="26" t="str">
        <f aca="false">IF(V23="","n/a",IF(T23="","",IF(ABS(W23)&lt;=0.1,"Ties","DIFFERS")))</f>
        <v>n/a</v>
      </c>
    </row>
    <row r="24" customFormat="false" ht="15" hidden="false" customHeight="false" outlineLevel="0" collapsed="false">
      <c r="A24" s="15" t="s">
        <v>241</v>
      </c>
      <c r="B24" s="16" t="s">
        <v>242</v>
      </c>
      <c r="C24" s="16" t="s">
        <v>119</v>
      </c>
      <c r="D24" s="46" t="s">
        <v>238</v>
      </c>
      <c r="E24" s="47" t="n">
        <v>30</v>
      </c>
      <c r="F24" s="47" t="n">
        <v>12</v>
      </c>
      <c r="G24" s="47" t="n">
        <v>90</v>
      </c>
      <c r="H24" s="47" t="n">
        <v>6</v>
      </c>
      <c r="I24" s="47" t="n">
        <v>8</v>
      </c>
      <c r="J24" s="48" t="str">
        <f aca="false">IF(E24&gt;'Demand Framework'!$C$24,"STALE","OK")</f>
        <v>OK</v>
      </c>
      <c r="K24" s="49" t="n">
        <f aca="false">MIN(F24/'Demand Framework'!$C$16,1)</f>
        <v>1</v>
      </c>
      <c r="L24" s="49" t="n">
        <f aca="false">MIN(G24/'Demand Framework'!$C$17,1)</f>
        <v>0.3</v>
      </c>
      <c r="M24" s="50" t="n">
        <f aca="false">IF(I24&lt;=0,1,MAX(0,MIN(1,1-H24/I24)))</f>
        <v>0.25</v>
      </c>
      <c r="N24" s="49" t="n">
        <f aca="false">MIN(F24*'Demand Framework'!$C$23/'Demand Framework'!$C$19,1)</f>
        <v>1</v>
      </c>
      <c r="O24" s="49" t="n">
        <f aca="false">K24*'Demand Framework'!$E$16</f>
        <v>0.35</v>
      </c>
      <c r="P24" s="49" t="n">
        <f aca="false">L24*'Demand Framework'!$E$17</f>
        <v>0.105</v>
      </c>
      <c r="Q24" s="49" t="n">
        <f aca="false">M24*'Demand Framework'!$E$18</f>
        <v>0.05</v>
      </c>
      <c r="R24" s="49" t="n">
        <f aca="false">N24*'Demand Framework'!$E$19</f>
        <v>0.1</v>
      </c>
      <c r="S24" s="49" t="n">
        <f aca="false">SUM(O24:R24)/'Demand Framework'!$E$20</f>
        <v>0.605</v>
      </c>
      <c r="T24" s="51" t="n">
        <f aca="false">IF(J24="STALE","",IF(F24&lt;=0,0,ROUND(S24*'Demand Framework'!$C$25,2)))</f>
        <v>60.5</v>
      </c>
      <c r="U24" s="52" t="str">
        <f aca="false">IF(T24="","STALE",INDEX('Demand Framework'!$A$28:$A$32,MATCH(T24,'Demand Framework'!$C$28:$C$32,1)))</f>
        <v>MEDIUM</v>
      </c>
      <c r="V24" s="22"/>
      <c r="W24" s="53" t="str">
        <f aca="false">IF(OR(V24="",T24=""),"",T24-V24)</f>
        <v/>
      </c>
      <c r="X24" s="26" t="str">
        <f aca="false">IF(V24="","n/a",IF(T24="","",IF(ABS(W24)&lt;=0.1,"Ties","DIFFERS")))</f>
        <v>n/a</v>
      </c>
    </row>
    <row r="25" customFormat="false" ht="15" hidden="false" customHeight="false" outlineLevel="0" collapsed="false">
      <c r="A25" s="15" t="s">
        <v>243</v>
      </c>
      <c r="B25" s="16" t="s">
        <v>244</v>
      </c>
      <c r="C25" s="16" t="s">
        <v>119</v>
      </c>
      <c r="D25" s="46" t="s">
        <v>238</v>
      </c>
      <c r="E25" s="47" t="n">
        <v>30</v>
      </c>
      <c r="F25" s="47" t="n">
        <v>6</v>
      </c>
      <c r="G25" s="47" t="n">
        <v>45</v>
      </c>
      <c r="H25" s="47" t="n">
        <v>1</v>
      </c>
      <c r="I25" s="47" t="n">
        <v>8</v>
      </c>
      <c r="J25" s="48" t="str">
        <f aca="false">IF(E25&gt;'Demand Framework'!$C$24,"STALE","OK")</f>
        <v>OK</v>
      </c>
      <c r="K25" s="49" t="n">
        <f aca="false">MIN(F25/'Demand Framework'!$C$16,1)</f>
        <v>0.6</v>
      </c>
      <c r="L25" s="49" t="n">
        <f aca="false">MIN(G25/'Demand Framework'!$C$17,1)</f>
        <v>0.15</v>
      </c>
      <c r="M25" s="50" t="n">
        <f aca="false">IF(I25&lt;=0,1,MAX(0,MIN(1,1-H25/I25)))</f>
        <v>0.875</v>
      </c>
      <c r="N25" s="49" t="n">
        <f aca="false">MIN(F25*'Demand Framework'!$C$23/'Demand Framework'!$C$19,1)</f>
        <v>1</v>
      </c>
      <c r="O25" s="49" t="n">
        <f aca="false">K25*'Demand Framework'!$E$16</f>
        <v>0.21</v>
      </c>
      <c r="P25" s="49" t="n">
        <f aca="false">L25*'Demand Framework'!$E$17</f>
        <v>0.0525</v>
      </c>
      <c r="Q25" s="49" t="n">
        <f aca="false">M25*'Demand Framework'!$E$18</f>
        <v>0.175</v>
      </c>
      <c r="R25" s="49" t="n">
        <f aca="false">N25*'Demand Framework'!$E$19</f>
        <v>0.1</v>
      </c>
      <c r="S25" s="49" t="n">
        <f aca="false">SUM(O25:R25)/'Demand Framework'!$E$20</f>
        <v>0.5375</v>
      </c>
      <c r="T25" s="51" t="n">
        <f aca="false">IF(J25="STALE","",IF(F25&lt;=0,0,ROUND(S25*'Demand Framework'!$C$25,2)))</f>
        <v>53.75</v>
      </c>
      <c r="U25" s="52" t="str">
        <f aca="false">IF(T25="","STALE",INDEX('Demand Framework'!$A$28:$A$32,MATCH(T25,'Demand Framework'!$C$28:$C$32,1)))</f>
        <v>MEDIUM</v>
      </c>
      <c r="V25" s="22"/>
      <c r="W25" s="53" t="str">
        <f aca="false">IF(OR(V25="",T25=""),"",T25-V25)</f>
        <v/>
      </c>
      <c r="X25" s="26" t="str">
        <f aca="false">IF(V25="","n/a",IF(T25="","",IF(ABS(W25)&lt;=0.1,"Ties","DIFFERS")))</f>
        <v>n/a</v>
      </c>
    </row>
    <row r="26" customFormat="false" ht="15" hidden="false" customHeight="false" outlineLevel="0" collapsed="false">
      <c r="A26" s="15" t="s">
        <v>245</v>
      </c>
      <c r="B26" s="16" t="s">
        <v>246</v>
      </c>
      <c r="C26" s="16" t="s">
        <v>119</v>
      </c>
      <c r="D26" s="46" t="s">
        <v>238</v>
      </c>
      <c r="E26" s="47" t="n">
        <v>30</v>
      </c>
      <c r="F26" s="47" t="n">
        <v>5</v>
      </c>
      <c r="G26" s="47" t="n">
        <v>150</v>
      </c>
      <c r="H26" s="47" t="n">
        <v>2</v>
      </c>
      <c r="I26" s="47" t="n">
        <v>6</v>
      </c>
      <c r="J26" s="48" t="str">
        <f aca="false">IF(E26&gt;'Demand Framework'!$C$24,"STALE","OK")</f>
        <v>OK</v>
      </c>
      <c r="K26" s="49" t="n">
        <f aca="false">MIN(F26/'Demand Framework'!$C$16,1)</f>
        <v>0.5</v>
      </c>
      <c r="L26" s="49" t="n">
        <f aca="false">MIN(G26/'Demand Framework'!$C$17,1)</f>
        <v>0.5</v>
      </c>
      <c r="M26" s="50" t="n">
        <f aca="false">IF(I26&lt;=0,1,MAX(0,MIN(1,1-H26/I26)))</f>
        <v>0.666666666666667</v>
      </c>
      <c r="N26" s="49" t="n">
        <f aca="false">MIN(F26*'Demand Framework'!$C$23/'Demand Framework'!$C$19,1)</f>
        <v>1</v>
      </c>
      <c r="O26" s="49" t="n">
        <f aca="false">K26*'Demand Framework'!$E$16</f>
        <v>0.175</v>
      </c>
      <c r="P26" s="49" t="n">
        <f aca="false">L26*'Demand Framework'!$E$17</f>
        <v>0.175</v>
      </c>
      <c r="Q26" s="49" t="n">
        <f aca="false">M26*'Demand Framework'!$E$18</f>
        <v>0.133333333333333</v>
      </c>
      <c r="R26" s="49" t="n">
        <f aca="false">N26*'Demand Framework'!$E$19</f>
        <v>0.1</v>
      </c>
      <c r="S26" s="49" t="n">
        <f aca="false">SUM(O26:R26)/'Demand Framework'!$E$20</f>
        <v>0.583333333333333</v>
      </c>
      <c r="T26" s="51" t="n">
        <f aca="false">IF(J26="STALE","",IF(F26&lt;=0,0,ROUND(S26*'Demand Framework'!$C$25,2)))</f>
        <v>58.33</v>
      </c>
      <c r="U26" s="52" t="str">
        <f aca="false">IF(T26="","STALE",INDEX('Demand Framework'!$A$28:$A$32,MATCH(T26,'Demand Framework'!$C$28:$C$32,1)))</f>
        <v>MEDIUM</v>
      </c>
      <c r="V26" s="22"/>
      <c r="W26" s="53" t="str">
        <f aca="false">IF(OR(V26="",T26=""),"",T26-V26)</f>
        <v/>
      </c>
      <c r="X26" s="26" t="str">
        <f aca="false">IF(V26="","n/a",IF(T26="","",IF(ABS(W26)&lt;=0.1,"Ties","DIFFERS")))</f>
        <v>n/a</v>
      </c>
    </row>
    <row r="27" customFormat="false" ht="15" hidden="false" customHeight="false" outlineLevel="0" collapsed="false">
      <c r="A27" s="15" t="s">
        <v>247</v>
      </c>
      <c r="B27" s="16" t="s">
        <v>248</v>
      </c>
      <c r="C27" s="16" t="s">
        <v>119</v>
      </c>
      <c r="D27" s="46" t="s">
        <v>238</v>
      </c>
      <c r="E27" s="47" t="n">
        <v>30</v>
      </c>
      <c r="F27" s="47" t="n">
        <v>15</v>
      </c>
      <c r="G27" s="47" t="n">
        <v>400</v>
      </c>
      <c r="H27" s="47" t="n">
        <v>0</v>
      </c>
      <c r="I27" s="47" t="n">
        <v>5</v>
      </c>
      <c r="J27" s="48" t="str">
        <f aca="false">IF(E27&gt;'Demand Framework'!$C$24,"STALE","OK")</f>
        <v>OK</v>
      </c>
      <c r="K27" s="49" t="n">
        <f aca="false">MIN(F27/'Demand Framework'!$C$16,1)</f>
        <v>1</v>
      </c>
      <c r="L27" s="49" t="n">
        <f aca="false">MIN(G27/'Demand Framework'!$C$17,1)</f>
        <v>1</v>
      </c>
      <c r="M27" s="50" t="n">
        <f aca="false">IF(I27&lt;=0,1,MAX(0,MIN(1,1-H27/I27)))</f>
        <v>1</v>
      </c>
      <c r="N27" s="49" t="n">
        <f aca="false">MIN(F27*'Demand Framework'!$C$23/'Demand Framework'!$C$19,1)</f>
        <v>1</v>
      </c>
      <c r="O27" s="49" t="n">
        <f aca="false">K27*'Demand Framework'!$E$16</f>
        <v>0.35</v>
      </c>
      <c r="P27" s="49" t="n">
        <f aca="false">L27*'Demand Framework'!$E$17</f>
        <v>0.35</v>
      </c>
      <c r="Q27" s="49" t="n">
        <f aca="false">M27*'Demand Framework'!$E$18</f>
        <v>0.2</v>
      </c>
      <c r="R27" s="49" t="n">
        <f aca="false">N27*'Demand Framework'!$E$19</f>
        <v>0.1</v>
      </c>
      <c r="S27" s="49" t="n">
        <f aca="false">SUM(O27:R27)/'Demand Framework'!$E$20</f>
        <v>1</v>
      </c>
      <c r="T27" s="51" t="n">
        <f aca="false">IF(J27="STALE","",IF(F27&lt;=0,0,ROUND(S27*'Demand Framework'!$C$25,2)))</f>
        <v>100</v>
      </c>
      <c r="U27" s="52" t="str">
        <f aca="false">IF(T27="","STALE",INDEX('Demand Framework'!$A$28:$A$32,MATCH(T27,'Demand Framework'!$C$28:$C$32,1)))</f>
        <v>CRITICAL</v>
      </c>
      <c r="V27" s="22"/>
      <c r="W27" s="53" t="str">
        <f aca="false">IF(OR(V27="",T27=""),"",T27-V27)</f>
        <v/>
      </c>
      <c r="X27" s="26" t="str">
        <f aca="false">IF(V27="","n/a",IF(T27="","",IF(ABS(W27)&lt;=0.1,"Ties","DIFFERS")))</f>
        <v>n/a</v>
      </c>
    </row>
    <row r="28" customFormat="false" ht="15" hidden="false" customHeight="false" outlineLevel="0" collapsed="false">
      <c r="A28" s="15" t="s">
        <v>249</v>
      </c>
      <c r="B28" s="16" t="s">
        <v>250</v>
      </c>
      <c r="C28" s="16" t="s">
        <v>119</v>
      </c>
      <c r="D28" s="46" t="s">
        <v>238</v>
      </c>
      <c r="E28" s="47" t="n">
        <v>300</v>
      </c>
      <c r="F28" s="47" t="n">
        <v>8</v>
      </c>
      <c r="G28" s="47" t="n">
        <v>200</v>
      </c>
      <c r="H28" s="47" t="n">
        <v>2</v>
      </c>
      <c r="I28" s="47" t="n">
        <v>6</v>
      </c>
      <c r="J28" s="48" t="str">
        <f aca="false">IF(E28&gt;'Demand Framework'!$C$24,"STALE","OK")</f>
        <v>STALE</v>
      </c>
      <c r="K28" s="49" t="n">
        <f aca="false">MIN(F28/'Demand Framework'!$C$16,1)</f>
        <v>0.8</v>
      </c>
      <c r="L28" s="49" t="n">
        <f aca="false">MIN(G28/'Demand Framework'!$C$17,1)</f>
        <v>0.666666666666667</v>
      </c>
      <c r="M28" s="50" t="n">
        <f aca="false">IF(I28&lt;=0,1,MAX(0,MIN(1,1-H28/I28)))</f>
        <v>0.666666666666667</v>
      </c>
      <c r="N28" s="49" t="n">
        <f aca="false">MIN(F28*'Demand Framework'!$C$23/'Demand Framework'!$C$19,1)</f>
        <v>1</v>
      </c>
      <c r="O28" s="49" t="n">
        <f aca="false">K28*'Demand Framework'!$E$16</f>
        <v>0.28</v>
      </c>
      <c r="P28" s="49" t="n">
        <f aca="false">L28*'Demand Framework'!$E$17</f>
        <v>0.233333333333333</v>
      </c>
      <c r="Q28" s="49" t="n">
        <f aca="false">M28*'Demand Framework'!$E$18</f>
        <v>0.133333333333333</v>
      </c>
      <c r="R28" s="49" t="n">
        <f aca="false">N28*'Demand Framework'!$E$19</f>
        <v>0.1</v>
      </c>
      <c r="S28" s="49" t="n">
        <f aca="false">SUM(O28:R28)/'Demand Framework'!$E$20</f>
        <v>0.746666666666667</v>
      </c>
      <c r="T28" s="51" t="str">
        <f aca="false">IF(J28="STALE","",IF(F28&lt;=0,0,ROUND(S28*'Demand Framework'!$C$25,2)))</f>
        <v/>
      </c>
      <c r="U28" s="52" t="str">
        <f aca="false">IF(T28="","STALE",INDEX('Demand Framework'!$A$28:$A$32,MATCH(T28,'Demand Framework'!$C$28:$C$32,1)))</f>
        <v>STALE</v>
      </c>
      <c r="V28" s="22"/>
      <c r="W28" s="53" t="str">
        <f aca="false">IF(OR(V28="",T28=""),"",T28-V28)</f>
        <v/>
      </c>
      <c r="X28" s="26" t="str">
        <f aca="false">IF(V28="","n/a",IF(T28="","",IF(ABS(W28)&lt;=0.1,"Ties","DIFFERS")))</f>
        <v>n/a</v>
      </c>
    </row>
    <row r="30" customFormat="false" ht="15" hidden="false" customHeight="false" outlineLevel="0" collapsed="false">
      <c r="A30" s="15" t="s">
        <v>251</v>
      </c>
      <c r="E30" s="26" t="n">
        <f aca="false">SUMPRODUCT((LEFT(D6:D28,9)="Dashboard")*(X6:X28="Ties"))</f>
        <v>3</v>
      </c>
    </row>
    <row r="31" customFormat="false" ht="15" hidden="false" customHeight="false" outlineLevel="0" collapsed="false">
      <c r="A31" s="15" t="s">
        <v>252</v>
      </c>
      <c r="E31" s="26" t="n">
        <f aca="false">SUMPRODUCT((LEFT(D6:D28,9)="Dashboard")*(X6:X28="DIFFERS"))</f>
        <v>12</v>
      </c>
    </row>
    <row r="32" customFormat="false" ht="15" hidden="false" customHeight="false" outlineLevel="0" collapsed="false">
      <c r="A32" s="15" t="s">
        <v>253</v>
      </c>
      <c r="E32" s="26" t="str">
        <f aca="false">X6</f>
        <v>Ties</v>
      </c>
    </row>
    <row r="34" customFormat="false" ht="42" hidden="false" customHeight="true" outlineLevel="0" collapsed="false">
      <c r="A34" s="54" t="s">
        <v>254</v>
      </c>
      <c r="B34" s="54"/>
      <c r="C34" s="54"/>
      <c r="D34" s="54"/>
      <c r="E34" s="54"/>
      <c r="F34" s="54"/>
      <c r="G34" s="54"/>
      <c r="H34" s="54"/>
      <c r="I34" s="54"/>
      <c r="J34" s="54"/>
      <c r="K34" s="54"/>
      <c r="L34" s="54"/>
      <c r="M34" s="54"/>
      <c r="N34" s="54"/>
      <c r="O34" s="54"/>
      <c r="P34" s="54"/>
      <c r="Q34" s="54"/>
      <c r="R34" s="54"/>
      <c r="S34" s="54"/>
      <c r="T34" s="54"/>
      <c r="U34" s="54"/>
      <c r="V34" s="54"/>
      <c r="W34" s="54"/>
      <c r="X34" s="54"/>
    </row>
    <row r="35" customFormat="false" ht="15.75" hidden="false" customHeight="true" outlineLevel="0" collapsed="false">
      <c r="A35" s="3" t="s">
        <v>255</v>
      </c>
      <c r="B35" s="3"/>
      <c r="C35" s="3"/>
      <c r="D35" s="3"/>
      <c r="E35" s="3"/>
      <c r="F35" s="3"/>
      <c r="G35" s="3"/>
      <c r="H35" s="3"/>
      <c r="I35" s="3"/>
      <c r="J35" s="3"/>
      <c r="K35" s="3"/>
      <c r="L35" s="3"/>
      <c r="M35" s="3"/>
      <c r="N35" s="3"/>
      <c r="O35" s="3"/>
      <c r="P35" s="3"/>
      <c r="Q35" s="3"/>
      <c r="R35" s="3"/>
      <c r="S35" s="3"/>
      <c r="T35" s="3"/>
      <c r="U35" s="3"/>
      <c r="V35" s="3"/>
      <c r="W35" s="3"/>
      <c r="X35" s="3"/>
    </row>
  </sheetData>
  <mergeCells count="9">
    <mergeCell ref="A2:X2"/>
    <mergeCell ref="A3:X3"/>
    <mergeCell ref="E4:J4"/>
    <mergeCell ref="K4:N4"/>
    <mergeCell ref="O4:R4"/>
    <mergeCell ref="S4:U4"/>
    <mergeCell ref="V4:X4"/>
    <mergeCell ref="A34:X34"/>
    <mergeCell ref="A35:X35"/>
  </mergeCells>
  <conditionalFormatting sqref="U6:U28">
    <cfRule type="expression" priority="2" aboveAverage="0" equalAverage="0" bottom="0" percent="0" rank="0" text="" dxfId="0">
      <formula>$U6="CRITICAL"</formula>
    </cfRule>
    <cfRule type="expression" priority="3" aboveAverage="0" equalAverage="0" bottom="0" percent="0" rank="0" text="" dxfId="1">
      <formula>$U6="HIGH"</formula>
    </cfRule>
    <cfRule type="expression" priority="4" aboveAverage="0" equalAverage="0" bottom="0" percent="0" rank="0" text="" dxfId="2">
      <formula>$U6="MEDIUM"</formula>
    </cfRule>
    <cfRule type="expression" priority="5" aboveAverage="0" equalAverage="0" bottom="0" percent="0" rank="0" text="" dxfId="3">
      <formula>$U6="LOW"</formula>
    </cfRule>
    <cfRule type="expression" priority="6" aboveAverage="0" equalAverage="0" bottom="0" percent="0" rank="0" text="" dxfId="4">
      <formula>$U6="NORMAL"</formula>
    </cfRule>
    <cfRule type="expression" priority="7" aboveAverage="0" equalAverage="0" bottom="0" percent="0" rank="0" text="" dxfId="5">
      <formula>$U6="STALE"</formula>
    </cfRule>
  </conditionalFormatting>
  <conditionalFormatting sqref="X6:X28">
    <cfRule type="expression" priority="8" aboveAverage="0" equalAverage="0" bottom="0" percent="0" rank="0" text="" dxfId="0">
      <formula>$X6="DIFFERS"</formula>
    </cfRule>
    <cfRule type="expression" priority="9" aboveAverage="0" equalAverage="0" bottom="0" percent="0" rank="0" text="" dxfId="4">
      <formula>$X6="Ties"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22"/>
    <col collapsed="false" customWidth="true" hidden="false" outlineLevel="0" max="4" min="4" style="0" width="62"/>
    <col collapsed="false" customWidth="true" hidden="false" outlineLevel="0" max="5" min="5" style="0" width="24"/>
    <col collapsed="false" customWidth="true" hidden="false" outlineLevel="0" max="6" min="6" style="0" width="18"/>
  </cols>
  <sheetData>
    <row r="1" customFormat="false" ht="24" hidden="false" customHeight="true" outlineLevel="0" collapsed="false">
      <c r="A1" s="1" t="s">
        <v>256</v>
      </c>
    </row>
    <row r="2" customFormat="false" ht="30" hidden="false" customHeight="true" outlineLevel="0" collapsed="false">
      <c r="A2" s="2" t="s">
        <v>257</v>
      </c>
      <c r="B2" s="2"/>
      <c r="C2" s="2"/>
      <c r="D2" s="2"/>
      <c r="E2" s="2"/>
      <c r="F2" s="2"/>
    </row>
    <row r="4" customFormat="false" ht="19.5" hidden="false" customHeight="true" outlineLevel="0" collapsed="false">
      <c r="A4" s="4" t="s">
        <v>258</v>
      </c>
      <c r="B4" s="4"/>
      <c r="C4" s="4"/>
      <c r="D4" s="4"/>
      <c r="E4" s="4"/>
      <c r="F4" s="4"/>
    </row>
    <row r="5" customFormat="false" ht="24" hidden="false" customHeight="true" outlineLevel="0" collapsed="false">
      <c r="A5" s="5" t="s">
        <v>259</v>
      </c>
      <c r="B5" s="5" t="s">
        <v>260</v>
      </c>
      <c r="C5" s="5" t="s">
        <v>57</v>
      </c>
      <c r="D5" s="5" t="s">
        <v>261</v>
      </c>
      <c r="E5" s="5" t="s">
        <v>262</v>
      </c>
      <c r="F5" s="5" t="s">
        <v>6</v>
      </c>
    </row>
    <row r="6" customFormat="false" ht="36" hidden="false" customHeight="true" outlineLevel="0" collapsed="false">
      <c r="A6" s="55" t="n">
        <v>1</v>
      </c>
      <c r="B6" s="6" t="s">
        <v>263</v>
      </c>
      <c r="C6" s="56" t="s">
        <v>264</v>
      </c>
      <c r="D6" s="7" t="s">
        <v>265</v>
      </c>
      <c r="E6" s="56" t="s">
        <v>266</v>
      </c>
      <c r="F6" s="57" t="s">
        <v>267</v>
      </c>
    </row>
    <row r="7" customFormat="false" ht="36" hidden="false" customHeight="true" outlineLevel="0" collapsed="false">
      <c r="A7" s="55" t="n">
        <v>2</v>
      </c>
      <c r="B7" s="6" t="s">
        <v>268</v>
      </c>
      <c r="C7" s="56" t="s">
        <v>269</v>
      </c>
      <c r="D7" s="7" t="s">
        <v>270</v>
      </c>
      <c r="E7" s="56" t="s">
        <v>266</v>
      </c>
      <c r="F7" s="57" t="s">
        <v>267</v>
      </c>
    </row>
    <row r="8" customFormat="false" ht="36" hidden="false" customHeight="true" outlineLevel="0" collapsed="false">
      <c r="A8" s="55" t="n">
        <v>3</v>
      </c>
      <c r="B8" s="6" t="s">
        <v>271</v>
      </c>
      <c r="C8" s="56" t="s">
        <v>272</v>
      </c>
      <c r="D8" s="7" t="s">
        <v>273</v>
      </c>
      <c r="E8" s="56" t="s">
        <v>266</v>
      </c>
      <c r="F8" s="57" t="s">
        <v>267</v>
      </c>
    </row>
    <row r="9" customFormat="false" ht="36" hidden="false" customHeight="true" outlineLevel="0" collapsed="false">
      <c r="A9" s="55" t="n">
        <v>4</v>
      </c>
      <c r="B9" s="6" t="s">
        <v>60</v>
      </c>
      <c r="C9" s="56" t="s">
        <v>274</v>
      </c>
      <c r="D9" s="7" t="s">
        <v>275</v>
      </c>
      <c r="E9" s="56" t="s">
        <v>266</v>
      </c>
      <c r="F9" s="57" t="s">
        <v>267</v>
      </c>
    </row>
    <row r="10" customFormat="false" ht="36" hidden="false" customHeight="true" outlineLevel="0" collapsed="false">
      <c r="A10" s="55" t="n">
        <v>5</v>
      </c>
      <c r="B10" s="6" t="s">
        <v>276</v>
      </c>
      <c r="C10" s="56" t="s">
        <v>277</v>
      </c>
      <c r="D10" s="7" t="s">
        <v>278</v>
      </c>
      <c r="E10" s="56" t="s">
        <v>266</v>
      </c>
      <c r="F10" s="57" t="s">
        <v>267</v>
      </c>
    </row>
    <row r="11" customFormat="false" ht="36" hidden="false" customHeight="true" outlineLevel="0" collapsed="false">
      <c r="A11" s="55" t="n">
        <v>6</v>
      </c>
      <c r="B11" s="6" t="s">
        <v>279</v>
      </c>
      <c r="C11" s="56" t="s">
        <v>119</v>
      </c>
      <c r="D11" s="7" t="s">
        <v>280</v>
      </c>
      <c r="E11" s="56" t="s">
        <v>266</v>
      </c>
      <c r="F11" s="58" t="s">
        <v>281</v>
      </c>
    </row>
    <row r="12" customFormat="false" ht="36" hidden="false" customHeight="true" outlineLevel="0" collapsed="false">
      <c r="A12" s="55" t="n">
        <v>7</v>
      </c>
      <c r="B12" s="6" t="s">
        <v>282</v>
      </c>
      <c r="C12" s="56" t="s">
        <v>119</v>
      </c>
      <c r="D12" s="7" t="s">
        <v>283</v>
      </c>
      <c r="E12" s="56" t="s">
        <v>266</v>
      </c>
      <c r="F12" s="59" t="s">
        <v>284</v>
      </c>
    </row>
    <row r="13" customFormat="false" ht="36" hidden="false" customHeight="true" outlineLevel="0" collapsed="false">
      <c r="A13" s="55" t="n">
        <v>8</v>
      </c>
      <c r="B13" s="6" t="s">
        <v>285</v>
      </c>
      <c r="C13" s="56" t="s">
        <v>286</v>
      </c>
      <c r="D13" s="7" t="s">
        <v>287</v>
      </c>
      <c r="E13" s="56" t="s">
        <v>266</v>
      </c>
      <c r="F13" s="59" t="s">
        <v>284</v>
      </c>
    </row>
    <row r="14" customFormat="false" ht="36" hidden="false" customHeight="true" outlineLevel="0" collapsed="false">
      <c r="A14" s="55" t="n">
        <v>9</v>
      </c>
      <c r="B14" s="6" t="s">
        <v>288</v>
      </c>
      <c r="C14" s="56" t="s">
        <v>289</v>
      </c>
      <c r="D14" s="7" t="s">
        <v>290</v>
      </c>
      <c r="E14" s="56" t="s">
        <v>291</v>
      </c>
      <c r="F14" s="60" t="s">
        <v>292</v>
      </c>
    </row>
    <row r="15" customFormat="false" ht="36" hidden="false" customHeight="true" outlineLevel="0" collapsed="false">
      <c r="A15" s="55" t="n">
        <v>10</v>
      </c>
      <c r="B15" s="6" t="s">
        <v>207</v>
      </c>
      <c r="C15" s="56" t="s">
        <v>293</v>
      </c>
      <c r="D15" s="7" t="s">
        <v>294</v>
      </c>
      <c r="E15" s="56" t="s">
        <v>291</v>
      </c>
      <c r="F15" s="58" t="s">
        <v>281</v>
      </c>
    </row>
    <row r="18" customFormat="false" ht="19.5" hidden="false" customHeight="true" outlineLevel="0" collapsed="false">
      <c r="A18" s="4" t="s">
        <v>295</v>
      </c>
      <c r="B18" s="4"/>
      <c r="C18" s="4"/>
      <c r="D18" s="4"/>
      <c r="E18" s="4"/>
      <c r="F18" s="4"/>
    </row>
    <row r="19" customFormat="false" ht="24" hidden="false" customHeight="true" outlineLevel="0" collapsed="false">
      <c r="A19" s="5" t="s">
        <v>259</v>
      </c>
      <c r="B19" s="5" t="s">
        <v>260</v>
      </c>
      <c r="C19" s="5" t="s">
        <v>296</v>
      </c>
      <c r="D19" s="5" t="s">
        <v>297</v>
      </c>
      <c r="E19" s="5" t="s">
        <v>298</v>
      </c>
      <c r="F19" s="5" t="s">
        <v>299</v>
      </c>
    </row>
    <row r="20" customFormat="false" ht="48" hidden="false" customHeight="true" outlineLevel="0" collapsed="false">
      <c r="A20" s="55" t="n">
        <v>1</v>
      </c>
      <c r="B20" s="6" t="s">
        <v>300</v>
      </c>
      <c r="C20" s="56" t="s">
        <v>301</v>
      </c>
      <c r="D20" s="7" t="s">
        <v>302</v>
      </c>
      <c r="E20" s="56" t="s">
        <v>303</v>
      </c>
      <c r="F20" s="26" t="s">
        <v>304</v>
      </c>
    </row>
    <row r="21" customFormat="false" ht="48" hidden="false" customHeight="true" outlineLevel="0" collapsed="false">
      <c r="A21" s="55" t="n">
        <v>2</v>
      </c>
      <c r="B21" s="6" t="s">
        <v>305</v>
      </c>
      <c r="C21" s="56" t="s">
        <v>306</v>
      </c>
      <c r="D21" s="7" t="s">
        <v>307</v>
      </c>
      <c r="E21" s="56" t="s">
        <v>308</v>
      </c>
      <c r="F21" s="26" t="s">
        <v>309</v>
      </c>
    </row>
    <row r="22" customFormat="false" ht="48" hidden="false" customHeight="true" outlineLevel="0" collapsed="false">
      <c r="A22" s="55" t="n">
        <v>3</v>
      </c>
      <c r="B22" s="6" t="s">
        <v>310</v>
      </c>
      <c r="C22" s="56" t="s">
        <v>311</v>
      </c>
      <c r="D22" s="7" t="s">
        <v>312</v>
      </c>
      <c r="E22" s="56" t="s">
        <v>313</v>
      </c>
      <c r="F22" s="26" t="s">
        <v>309</v>
      </c>
    </row>
    <row r="23" customFormat="false" ht="48" hidden="false" customHeight="true" outlineLevel="0" collapsed="false">
      <c r="A23" s="55" t="n">
        <v>4</v>
      </c>
      <c r="B23" s="6" t="s">
        <v>314</v>
      </c>
      <c r="C23" s="56" t="s">
        <v>315</v>
      </c>
      <c r="D23" s="7" t="s">
        <v>316</v>
      </c>
      <c r="E23" s="56" t="s">
        <v>303</v>
      </c>
      <c r="F23" s="26" t="s">
        <v>309</v>
      </c>
    </row>
    <row r="24" customFormat="false" ht="48" hidden="false" customHeight="true" outlineLevel="0" collapsed="false">
      <c r="A24" s="55" t="n">
        <v>5</v>
      </c>
      <c r="B24" s="6" t="s">
        <v>317</v>
      </c>
      <c r="C24" s="56" t="s">
        <v>315</v>
      </c>
      <c r="D24" s="7" t="s">
        <v>318</v>
      </c>
      <c r="E24" s="56" t="s">
        <v>319</v>
      </c>
      <c r="F24" s="26" t="s">
        <v>309</v>
      </c>
    </row>
    <row r="25" customFormat="false" ht="48" hidden="false" customHeight="true" outlineLevel="0" collapsed="false">
      <c r="A25" s="55" t="n">
        <v>6</v>
      </c>
      <c r="B25" s="6" t="s">
        <v>320</v>
      </c>
      <c r="C25" s="56" t="s">
        <v>321</v>
      </c>
      <c r="D25" s="7" t="s">
        <v>322</v>
      </c>
      <c r="E25" s="56" t="s">
        <v>323</v>
      </c>
      <c r="F25" s="26" t="s">
        <v>324</v>
      </c>
    </row>
    <row r="26" customFormat="false" ht="48" hidden="false" customHeight="true" outlineLevel="0" collapsed="false">
      <c r="A26" s="55" t="n">
        <v>7</v>
      </c>
      <c r="B26" s="6" t="s">
        <v>325</v>
      </c>
      <c r="C26" s="56" t="s">
        <v>326</v>
      </c>
      <c r="D26" s="7" t="s">
        <v>327</v>
      </c>
      <c r="E26" s="56" t="s">
        <v>328</v>
      </c>
      <c r="F26" s="26" t="s">
        <v>304</v>
      </c>
    </row>
    <row r="27" customFormat="false" ht="48" hidden="false" customHeight="true" outlineLevel="0" collapsed="false">
      <c r="A27" s="55" t="n">
        <v>8</v>
      </c>
      <c r="B27" s="6" t="s">
        <v>329</v>
      </c>
      <c r="C27" s="56" t="s">
        <v>330</v>
      </c>
      <c r="D27" s="7" t="s">
        <v>331</v>
      </c>
      <c r="E27" s="56" t="s">
        <v>332</v>
      </c>
      <c r="F27" s="26" t="s">
        <v>324</v>
      </c>
    </row>
  </sheetData>
  <mergeCells count="3">
    <mergeCell ref="A2:F2"/>
    <mergeCell ref="A4:F4"/>
    <mergeCell ref="A18:F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2026-09-28T11:50:37Z</dcterms:created>
  <dc:creator>openpyxl</dc:creator>
  <dc:description/>
  <dc:language>en-US</dc:language>
  <cp:lastModifiedBy/>
  <dcterms:modified xsi:type="dcterms:W3CDTF">2026-09-28T11:50:38Z</dcterms:modified>
  <cp:revision>0</cp:revision>
  <dc:subject/>
  <dc:title>Demand Pressure - Framework, Calculator and Trace</dc:title>
</cp:coreProperties>
</file>

<file path=docProps/custom.xml><?xml version="1.0" encoding="utf-8"?>
<Properties xmlns="http://schemas.openxmlformats.org/officeDocument/2006/custom-properties" xmlns:vt="http://schemas.openxmlformats.org/officeDocument/2006/docPropsVTypes"/>
</file>