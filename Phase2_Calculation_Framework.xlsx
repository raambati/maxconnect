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emand Pressure" sheetId="2" state="visible" r:id="rId4"/>
    <sheet name="Agent Availability" sheetId="3" state="visible" r:id="rId5"/>
    <sheet name="Priority Framework" sheetId="4" state="visible" r:id="rId6"/>
    <sheet name="Supply Calculation" sheetId="5" state="visible" r:id="rId7"/>
    <sheet name="Validation" sheetId="6" state="visible" r:id="rId8"/>
    <sheet name="Sources &amp; Open Item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<sst xmlns="http://schemas.openxmlformats.org/spreadsheetml/2006/main" count="807" uniqueCount="567">
  <si>
    <t xml:space="preserve">Management Console Phase 2 - Calculation Framework</t>
  </si>
  <si>
    <t xml:space="preserve">A working model of how the console works out queue pressure, agent availability and where an available agent should go. Draft v0.1 for business review - every calculation is a live formula, so change a value and see the result.</t>
  </si>
  <si>
    <t xml:space="preserve">How the three parts fit together</t>
  </si>
  <si>
    <t xml:space="preserve">Part</t>
  </si>
  <si>
    <t xml:space="preserve">What it answers</t>
  </si>
  <si>
    <t xml:space="preserve">Status</t>
  </si>
  <si>
    <t xml:space="preserve">Data it uses</t>
  </si>
  <si>
    <t xml:space="preserve">Demand Pressure</t>
  </si>
  <si>
    <t xml:space="preserve">How busy is each queue right now? Four live signals combine into a 0-100 score and a band.</t>
  </si>
  <si>
    <t xml:space="preserve">BUILT and tested</t>
  </si>
  <si>
    <t xml:space="preserve">Live data from every queue</t>
  </si>
  <si>
    <t xml:space="preserve">Agent Availability</t>
  </si>
  <si>
    <t xml:space="preserve">Is this agent in a state we should check, and which queues can they support across every instance?</t>
  </si>
  <si>
    <t xml:space="preserve">Agent status and routing-profile data</t>
  </si>
  <si>
    <t xml:space="preserve">Priority Framework + Priority score</t>
  </si>
  <si>
    <t xml:space="preserve">Which queue matters most, based on caller vulnerability, SLA, client value and client journey stage? (Daryll's framework)</t>
  </si>
  <si>
    <t xml:space="preserve">BUILT and tested (scoring); Layer 3 not built</t>
  </si>
  <si>
    <t xml:space="preserve">Business-set ratings, reviewed occasionally</t>
  </si>
  <si>
    <t xml:space="preserve">Supply Calculation (Part B)</t>
  </si>
  <si>
    <t xml:space="preserve">When an agent becomes available: which queue, if any, should they move to, after guard rails?</t>
  </si>
  <si>
    <t xml:space="preserve">PROPOSED - placeholder values</t>
  </si>
  <si>
    <t xml:space="preserve">Combines all of the above</t>
  </si>
  <si>
    <t xml:space="preserve">Colour key</t>
  </si>
  <si>
    <t xml:space="preserve">Mint fill</t>
  </si>
  <si>
    <t xml:space="preserve">Static value set by the business - changes rarely</t>
  </si>
  <si>
    <t xml:space="preserve">Purple fill</t>
  </si>
  <si>
    <t xml:space="preserve">Dynamic value - comes from live system data</t>
  </si>
  <si>
    <t xml:space="preserve">Yellow fill</t>
  </si>
  <si>
    <t xml:space="preserve">Key result</t>
  </si>
  <si>
    <t xml:space="preserve">Amber fill</t>
  </si>
  <si>
    <t xml:space="preserve">Placeholder or not agreed - do not treat as decided</t>
  </si>
  <si>
    <t xml:space="preserve">Blue text</t>
  </si>
  <si>
    <t xml:space="preserve">An input you can edit (numbers typed in)</t>
  </si>
  <si>
    <t xml:space="preserve">Black text</t>
  </si>
  <si>
    <t xml:space="preserve">A formula - do not overwrite</t>
  </si>
  <si>
    <t xml:space="preserve">Green text</t>
  </si>
  <si>
    <t xml:space="preserve">Pulled from another sheet</t>
  </si>
  <si>
    <t xml:space="preserve">How to use this workbook</t>
  </si>
  <si>
    <t xml:space="preserve">1. Start with 'Demand Pressure': overwrite the purple cells in the calculator and watch the score and band change.</t>
  </si>
  <si>
    <t xml:space="preserve">2. 'Agent Availability' shows which agent states can trigger a check and how one agent's eligibility is combined across instances.</t>
  </si>
  <si>
    <t xml:space="preserve">3. 'Priority Framework' holds Daryll's rules; 'Supply Calculation' Part A scores queues with them and Part B walks one agent through a decision.</t>
  </si>
  <si>
    <t xml:space="preserve">4. 'Validation' shows how closely the workbook reproduces the real system. 'Sources &amp; Open Items' lists where every number came from and what still needs deciding.</t>
  </si>
  <si>
    <t xml:space="preserve">Read this before presenting</t>
  </si>
  <si>
    <t xml:space="preserve">- The Demand Pressure weights and thresholds are the original defaults and have not been reviewed by the business (Open Items #2).</t>
  </si>
  <si>
    <t xml:space="preserve">- Part B of Supply Calculation is a proposal. The way priority and pressure combine, and every guard-rail value, still need agreeing (Open Items #1, #5-#8).</t>
  </si>
  <si>
    <t xml:space="preserve">- The demo front-end's 'Sample' screen does not fully match these formulas - see the Validation tab before showing it alongside this workbook.</t>
  </si>
  <si>
    <t xml:space="preserve">Demand Pressure - how busy is each queue right now?</t>
  </si>
  <si>
    <t xml:space="preserve">Question this answers: 'Which queues need extra help right now?'  Produces a 0-100 score and a band for every voice queue, combining four live signals using agreed weights. Status: BUILT and tested against real data (defaults not yet reviewed by the business).</t>
  </si>
  <si>
    <t xml:space="preserve">1. Configuration - current default values (edit the mint cells to test alternatives)</t>
  </si>
  <si>
    <t xml:space="preserve">Factor</t>
  </si>
  <si>
    <t xml:space="preserve">What it measures</t>
  </si>
  <si>
    <t xml:space="preserve">Maximum-out threshold</t>
  </si>
  <si>
    <t xml:space="preserve">Unit</t>
  </si>
  <si>
    <t xml:space="preserve">Weight</t>
  </si>
  <si>
    <t xml:space="preserve">Value status</t>
  </si>
  <si>
    <t xml:space="preserve">Queue depth</t>
  </si>
  <si>
    <t xml:space="preserve">Contacts currently waiting in the queue</t>
  </si>
  <si>
    <t xml:space="preserve">contacts</t>
  </si>
  <si>
    <t xml:space="preserve">ACTIVE</t>
  </si>
  <si>
    <t xml:space="preserve">Default</t>
  </si>
  <si>
    <t xml:space="preserve">Oldest contact age</t>
  </si>
  <si>
    <t xml:space="preserve">How long the longest-waiting contact has waited</t>
  </si>
  <si>
    <t xml:space="preserve">seconds</t>
  </si>
  <si>
    <t xml:space="preserve">Available agent shortage</t>
  </si>
  <si>
    <t xml:space="preserve">Share of staffed agents who are NOT free right now (1 - available / staffed)</t>
  </si>
  <si>
    <t xml:space="preserve">n/a</t>
  </si>
  <si>
    <t xml:space="preserve">ratio 0-1</t>
  </si>
  <si>
    <t xml:space="preserve">Queued workload</t>
  </si>
  <si>
    <t xml:space="preserve">Contacts waiting x average handle time</t>
  </si>
  <si>
    <t xml:space="preserve">seconds of work</t>
  </si>
  <si>
    <t xml:space="preserve">Total weight</t>
  </si>
  <si>
    <t xml:space="preserve">Other setting</t>
  </si>
  <si>
    <t xml:space="preserve">Note</t>
  </si>
  <si>
    <t xml:space="preserve">Value</t>
  </si>
  <si>
    <t xml:space="preserve">Default average handle time</t>
  </si>
  <si>
    <t xml:space="preserve">Used because handle-time data only refreshes once a day</t>
  </si>
  <si>
    <t xml:space="preserve">Maximum queue-data age</t>
  </si>
  <si>
    <t xml:space="preserve">Older data is flagged STALE and is not scored</t>
  </si>
  <si>
    <t xml:space="preserve">Score scale</t>
  </si>
  <si>
    <t xml:space="preserve">Top of the score range</t>
  </si>
  <si>
    <t xml:space="preserve">points</t>
  </si>
  <si>
    <t xml:space="preserve">Pressure band</t>
  </si>
  <si>
    <t xml:space="preserve">Meaning</t>
  </si>
  <si>
    <t xml:space="preserve">Score from (inclusive)</t>
  </si>
  <si>
    <t xml:space="preserve">NORMAL</t>
  </si>
  <si>
    <t xml:space="preserve">No unusual pressure</t>
  </si>
  <si>
    <t xml:space="preserve">LOW</t>
  </si>
  <si>
    <t xml:space="preserve">Building - watch</t>
  </si>
  <si>
    <t xml:space="preserve">MEDIUM</t>
  </si>
  <si>
    <t xml:space="preserve">Needs attention</t>
  </si>
  <si>
    <t xml:space="preserve">HIGH</t>
  </si>
  <si>
    <t xml:space="preserve">Significant pressure</t>
  </si>
  <si>
    <t xml:space="preserve">CRITICAL</t>
  </si>
  <si>
    <t xml:space="preserve">Immediate help needed</t>
  </si>
  <si>
    <t xml:space="preserve">The demo front-end shows four bands (Normal / Elevated / High / Critical) with different cut-offs from these five - see Sources &amp; Open Items #3.</t>
  </si>
  <si>
    <t xml:space="preserve">Factors the Lambda already calculates but currently SWITCHED OFF (weight 0)</t>
  </si>
  <si>
    <t xml:space="preserve">Default threshold</t>
  </si>
  <si>
    <t xml:space="preserve">Average handle time</t>
  </si>
  <si>
    <t xml:space="preserve">Calculated in code, contributes nothing at weight 0 - not modelled here</t>
  </si>
  <si>
    <t xml:space="preserve">Unavailable agent ratio</t>
  </si>
  <si>
    <t xml:space="preserve">After-contact-work ratio</t>
  </si>
  <si>
    <t xml:space="preserve">Agents-on-contact ratio</t>
  </si>
  <si>
    <t xml:space="preserve">Staffing deficit (agents)</t>
  </si>
  <si>
    <t xml:space="preserve">Abandonment rate (%)</t>
  </si>
  <si>
    <t xml:space="preserve">Agent answer rate - minimum (%)</t>
  </si>
  <si>
    <t xml:space="preserve">Agent non-response</t>
  </si>
  <si>
    <t xml:space="preserve">Maximum queued time (s)</t>
  </si>
  <si>
    <t xml:space="preserve">2. Calculator - purple cells are live values you can overwrite; everything else calculates</t>
  </si>
  <si>
    <t xml:space="preserve">How to use: overwrite any purple cell (contacts waiting, oldest wait, agents available, agents staffed). The four scores, weighted contributions, total, band and rank update automatically. Rows 40-42 use real or demo-screen values; rows 43-49 are illustrative scenarios.</t>
  </si>
  <si>
    <t xml:space="preserve">Inputs (live data)</t>
  </si>
  <si>
    <t xml:space="preserve">Component scores (0 = no pressure, 1 = at limit)</t>
  </si>
  <si>
    <t xml:space="preserve">Weighted contribution</t>
  </si>
  <si>
    <t xml:space="preserve">Result</t>
  </si>
  <si>
    <t xml:space="preserve">Queue / scenario</t>
  </si>
  <si>
    <t xml:space="preserve">Instance</t>
  </si>
  <si>
    <t xml:space="preserve">Data source</t>
  </si>
  <si>
    <t xml:space="preserve">Data age (s)</t>
  </si>
  <si>
    <t xml:space="preserve">Contacts waiting</t>
  </si>
  <si>
    <t xml:space="preserve">Oldest wait (s)</t>
  </si>
  <si>
    <t xml:space="preserve">Agents available</t>
  </si>
  <si>
    <t xml:space="preserve">Agents staffed</t>
  </si>
  <si>
    <t xml:space="preserve">Data status</t>
  </si>
  <si>
    <t xml:space="preserve">Oldest age</t>
  </si>
  <si>
    <t xml:space="preserve">Agent shortage</t>
  </si>
  <si>
    <t xml:space="preserve">Depth x weight</t>
  </si>
  <si>
    <t xml:space="preserve">Age x weight</t>
  </si>
  <si>
    <t xml:space="preserve">Shortage x weight</t>
  </si>
  <si>
    <t xml:space="preserve">Workload x weight</t>
  </si>
  <si>
    <t xml:space="preserve">Weighted total (0-1)</t>
  </si>
  <si>
    <t xml:space="preserve">Pressure score (0-100)</t>
  </si>
  <si>
    <t xml:space="preserve">Band</t>
  </si>
  <si>
    <t xml:space="preserve">Rank</t>
  </si>
  <si>
    <t xml:space="preserve">The_Scouts_Association_Tel</t>
  </si>
  <si>
    <t xml:space="preserve">macp-uk-buro-dev-connect-1</t>
  </si>
  <si>
    <t xml:space="preserve">Real Lambda result</t>
  </si>
  <si>
    <t xml:space="preserve">NSPCC_Tel</t>
  </si>
  <si>
    <t xml:space="preserve">Demo screen (ties)</t>
  </si>
  <si>
    <t xml:space="preserve">Carers_UK_Tel</t>
  </si>
  <si>
    <t xml:space="preserve">Scenario A - quiet queue</t>
  </si>
  <si>
    <t xml:space="preserve">-</t>
  </si>
  <si>
    <t xml:space="preserve">Illustrative</t>
  </si>
  <si>
    <t xml:space="preserve">Scenario B - one long wait, no cover</t>
  </si>
  <si>
    <t xml:space="preserve">Scenario C - busy but well covered</t>
  </si>
  <si>
    <t xml:space="preserve">Scenario D - short waits, short-staffed</t>
  </si>
  <si>
    <t xml:space="preserve">Scenario E - building steadily</t>
  </si>
  <si>
    <t xml:space="preserve">Scenario F - everything at its limit</t>
  </si>
  <si>
    <t xml:space="preserve">Scenario G - stale data</t>
  </si>
  <si>
    <t xml:space="preserve">Rules built into the calculation: (1) a queue with no contacts waiting always scores 0, even if agents are short; (2) queue data older than the maximum age is flagged STALE and not scored; (3) scores round to 2 decimals, as the Lambda does.</t>
  </si>
  <si>
    <t xml:space="preserve">Each component is capped at 1: once a queue reaches its threshold (e.g. 10 contacts, 300 seconds) that factor is 'maxed out' and more contacts or longer waits add nothing further.</t>
  </si>
  <si>
    <t xml:space="preserve">Verified: the four formulas reproduce a real Lambda dry-run result exactly (The_Scouts_Association_Tel = 61.83) - see Validation tab. The agent-shortage and workload forms were inferred from real results, not read from source code - see Sources &amp; Open Items #4.</t>
  </si>
  <si>
    <t xml:space="preserve">Agent Availability - who can be considered for a move?</t>
  </si>
  <si>
    <t xml:space="preserve">Questions this answers: 'Is this agent in a state where we should even check?' and 'Which queues is this agent allowed to support, across every instance?' Status: BUILT (agent data capture and eligibility lookup are deployed and tested).</t>
  </si>
  <si>
    <t xml:space="preserve">1. Agent states - which states can trigger an allocation check?</t>
  </si>
  <si>
    <t xml:space="preserve">Agent state</t>
  </si>
  <si>
    <t xml:space="preserve">What it means</t>
  </si>
  <si>
    <t xml:space="preserve">Immediate capacity?</t>
  </si>
  <si>
    <t xml:space="preserve">Can trigger an allocation check?</t>
  </si>
  <si>
    <t xml:space="preserve">Source</t>
  </si>
  <si>
    <t xml:space="preserve">Available (routable)</t>
  </si>
  <si>
    <t xml:space="preserve">Signed in, ready, not handling a contact</t>
  </si>
  <si>
    <t xml:space="preserve">Yes</t>
  </si>
  <si>
    <t xml:space="preserve">YES</t>
  </si>
  <si>
    <t xml:space="preserve">HLD 2.1 - allocation decisions start only when an agent reaches an eligible available state</t>
  </si>
  <si>
    <t xml:space="preserve">On a contact</t>
  </si>
  <si>
    <t xml:space="preserve">Handling a live contact</t>
  </si>
  <si>
    <t xml:space="preserve">No (near-term)</t>
  </si>
  <si>
    <t xml:space="preserve">NO</t>
  </si>
  <si>
    <t xml:space="preserve">HLD 2 - agents are never moved mid-contact; HLD 6.2 - counts as near-term capacity</t>
  </si>
  <si>
    <t xml:space="preserve">After-contact work</t>
  </si>
  <si>
    <t xml:space="preserve">Finishing notes after a contact</t>
  </si>
  <si>
    <t xml:space="preserve">HLD 6.2 - occupied agents remain near-term capacity</t>
  </si>
  <si>
    <t xml:space="preserve">Signed in, not routable</t>
  </si>
  <si>
    <t xml:space="preserve">e.g. break, lunch, training</t>
  </si>
  <si>
    <t xml:space="preserve">No</t>
  </si>
  <si>
    <t xml:space="preserve">HLD 6.2 - unavailable agents are not immediate capacity</t>
  </si>
  <si>
    <t xml:space="preserve">Offline</t>
  </si>
  <si>
    <t xml:space="preserve">Not signed in</t>
  </si>
  <si>
    <t xml:space="preserve">Try it - example agent's current state (choose):</t>
  </si>
  <si>
    <t xml:space="preserve">Allocation check triggered?</t>
  </si>
  <si>
    <t xml:space="preserve">2. Queue availability - how the 'agent shortage' score is built (feeds Demand Pressure)</t>
  </si>
  <si>
    <t xml:space="preserve">Queue (illustrative)</t>
  </si>
  <si>
    <t xml:space="preserve">Available %</t>
  </si>
  <si>
    <t xml:space="preserve">Shortage score</t>
  </si>
  <si>
    <t xml:space="preserve">Example 1</t>
  </si>
  <si>
    <t xml:space="preserve">No agents free</t>
  </si>
  <si>
    <t xml:space="preserve">On contact and after-contact work are shown for context only - not scored</t>
  </si>
  <si>
    <t xml:space="preserve">Example 2</t>
  </si>
  <si>
    <t xml:space="preserve">Thin cover (like NSPCC in the demo)</t>
  </si>
  <si>
    <t xml:space="preserve">Example 3</t>
  </si>
  <si>
    <t xml:space="preserve">Half the agents free</t>
  </si>
  <si>
    <t xml:space="preserve">Example 4</t>
  </si>
  <si>
    <t xml:space="preserve">Well covered</t>
  </si>
  <si>
    <t xml:space="preserve">Example 5</t>
  </si>
  <si>
    <t xml:space="preserve">Nobody signed in</t>
  </si>
  <si>
    <t xml:space="preserve">Shortage score = 1 - available / staffed; if nobody is staffed the score is 1 (matches a real record where 0 of 0 agents scored 1). It is weighted at 0.20 in Demand Pressure. Real queue data carries these five counts per queue: available, on contact, after-contact work, online and staffed.</t>
  </si>
  <si>
    <t xml:space="preserve">3. Cross-instance eligibility - one agent, several routing profiles</t>
  </si>
  <si>
    <t xml:space="preserve">An agent's eligible queues = every queue in ANY of their routing profiles, across every instance (combined and de-duplicated). Enter 1 where that profile includes the queue. In the real test data one agent holds four routing profiles across four instances at once - which is why eligibility must combine all of an agent's records.</t>
  </si>
  <si>
    <t xml:space="preserve">Queue</t>
  </si>
  <si>
    <t xml:space="preserve">Instance / group</t>
  </si>
  <si>
    <t xml:space="preserve">Profile on instance A</t>
  </si>
  <si>
    <t xml:space="preserve">Profile on instance B</t>
  </si>
  <si>
    <t xml:space="preserve">Profile on instance C</t>
  </si>
  <si>
    <t xml:space="preserve">Profile on instance D</t>
  </si>
  <si>
    <t xml:space="preserve">Eligible?</t>
  </si>
  <si>
    <t xml:space="preserve">Empathy_Tel</t>
  </si>
  <si>
    <t xml:space="preserve">Bureau</t>
  </si>
  <si>
    <t xml:space="preserve">Al_Jazeera_Tel</t>
  </si>
  <si>
    <t xml:space="preserve">Construction_Worker_Charitable_Trust_Tel</t>
  </si>
  <si>
    <t xml:space="preserve">Life_and_Progress_Assistance_Programme_Tel</t>
  </si>
  <si>
    <t xml:space="preserve">Hourglass_Tel</t>
  </si>
  <si>
    <t xml:space="preserve">Mind_Welfare_Tel</t>
  </si>
  <si>
    <t xml:space="preserve">Mind (dedicated)</t>
  </si>
  <si>
    <t xml:space="preserve">Gamstop_Betting_Shops_Tel</t>
  </si>
  <si>
    <t xml:space="preserve">GamStop (dedicated)</t>
  </si>
  <si>
    <t xml:space="preserve">Evergreen_Consumer_Care_Tel</t>
  </si>
  <si>
    <t xml:space="preserve">Evergreen (dedicated)</t>
  </si>
  <si>
    <t xml:space="preserve">Eligible queues (count)</t>
  </si>
  <si>
    <t xml:space="preserve">Queue names and ratings are real (from the business's queue list); which agent holds which profile is illustrative. In the live system this comes from each agent's routing profile, captured from Connect agent events. Routing-profile membership is the only eligibility test in this release - no separate skills score (HLD 2.1).</t>
  </si>
  <si>
    <t xml:space="preserve">Priority Framework - the business rules for 'who should be answered first?'</t>
  </si>
  <si>
    <t xml:space="preserve">Transcribed from Daryll's Framework v2 tab (screenshots, Sept 2026) - please verify against the live sheet before sign-off. Mint = static value set by the business and reviewed occasionally. Purple = dynamic (comes from live data) and NOT yet wired into any calculation.</t>
  </si>
  <si>
    <t xml:space="preserve">Layer 1 - Customer Priority: Caller vulnerability (static)</t>
  </si>
  <si>
    <t xml:space="preserve">Vulnerability tier</t>
  </si>
  <si>
    <t xml:space="preserve">Treatment</t>
  </si>
  <si>
    <t xml:space="preserve">Score</t>
  </si>
  <si>
    <t xml:space="preserve">Critical Vulnerability</t>
  </si>
  <si>
    <t xml:space="preserve">Mandatory Priority</t>
  </si>
  <si>
    <t xml:space="preserve">High Vulnerability</t>
  </si>
  <si>
    <t xml:space="preserve">Moderate Vulnerability</t>
  </si>
  <si>
    <t xml:space="preserve">Continues through Layers 1, 2 and guard rails</t>
  </si>
  <si>
    <t xml:space="preserve">Low Vulnerability</t>
  </si>
  <si>
    <t xml:space="preserve">No Known Vulnerability</t>
  </si>
  <si>
    <t xml:space="preserve">Mandatory Priority threshold (score at or above)</t>
  </si>
  <si>
    <t xml:space="preserve">Skips Client Priority, Operational Modifiers and Bureau Optimisation; only waiting time sequences these contacts</t>
  </si>
  <si>
    <t xml:space="preserve">Layer 2 - Client Priority (static). Factored value = level x weight</t>
  </si>
  <si>
    <t xml:space="preserve">SLA Tier - weight in Layer 2</t>
  </si>
  <si>
    <t xml:space="preserve">Tier</t>
  </si>
  <si>
    <t xml:space="preserve">Level (1-5)</t>
  </si>
  <si>
    <t xml:space="preserve">Factored value (level x weight)</t>
  </si>
  <si>
    <t xml:space="preserve">VIP</t>
  </si>
  <si>
    <t xml:space="preserve">High</t>
  </si>
  <si>
    <t xml:space="preserve">Standard</t>
  </si>
  <si>
    <t xml:space="preserve">Flexible</t>
  </si>
  <si>
    <t xml:space="preserve">Best Endeavours</t>
  </si>
  <si>
    <t xml:space="preserve">Client Value - weight in Layer 2</t>
  </si>
  <si>
    <t xml:space="preserve">Strategic / VIP</t>
  </si>
  <si>
    <t xml:space="preserve">High Value</t>
  </si>
  <si>
    <t xml:space="preserve">Core Value</t>
  </si>
  <si>
    <t xml:space="preserve">Developing Value</t>
  </si>
  <si>
    <t xml:space="preserve">Low Value / Transactional</t>
  </si>
  <si>
    <t xml:space="preserve">Client Journey Stage - weight in Layer 2</t>
  </si>
  <si>
    <t xml:space="preserve">Onboarding / New Customer (0-90 Days)</t>
  </si>
  <si>
    <t xml:space="preserve">Renewal / At-Risk of Churn</t>
  </si>
  <si>
    <t xml:space="preserve">Existing Customer - High Interest / Low Risk</t>
  </si>
  <si>
    <t xml:space="preserve">Existing Customer - Low Interest / Low Risk</t>
  </si>
  <si>
    <t xml:space="preserve">Exiting Customer</t>
  </si>
  <si>
    <t xml:space="preserve">Layer 2 weights total</t>
  </si>
  <si>
    <t xml:space="preserve">Priority score (as in the CX Rules Matrix):  IF vulnerability score &gt;= threshold THEN score = vulnerability score, OTHERWISE score = vulnerability score x SLA factored x Client Value factored x Journey Stage factored. Note: this is multiplicative. The worked example discussed on the call (85 vs 120) sounded additive - see Sources &amp; Open Items #9.</t>
  </si>
  <si>
    <t xml:space="preserve">Layer 1 (dynamic) - Waiting time / queue age: defined but NOT yet wired into any calculation</t>
  </si>
  <si>
    <t xml:space="preserve">Waiting-time definition</t>
  </si>
  <si>
    <t xml:space="preserve">Level</t>
  </si>
  <si>
    <t xml:space="preserve">Critical Wait</t>
  </si>
  <si>
    <t xml:space="preserve">Exceeded threshold boundary (TB) by more than 100%</t>
  </si>
  <si>
    <t xml:space="preserve">High Wait</t>
  </si>
  <si>
    <t xml:space="preserve">Exceeded TB by 50-100%</t>
  </si>
  <si>
    <t xml:space="preserve">Approaching Breach</t>
  </si>
  <si>
    <t xml:space="preserve">75-100% of TB elapsed</t>
  </si>
  <si>
    <t xml:space="preserve">Standard Wait</t>
  </si>
  <si>
    <t xml:space="preserve">25-75% of TB elapsed</t>
  </si>
  <si>
    <t xml:space="preserve">New Arrival</t>
  </si>
  <si>
    <t xml:space="preserve">0-25% of TB elapsed</t>
  </si>
  <si>
    <t xml:space="preserve">Daryll's framework assumes TB = 90 seconds. The live 'oldest contact age' value already exists in the queue data, so this can be built next.</t>
  </si>
  <si>
    <t xml:space="preserve">Layer 3 - Operational Modifier (dynamic): defined but NOT yet wired into any calculation</t>
  </si>
  <si>
    <t xml:space="preserve">3a. Demand compliance - month to date</t>
  </si>
  <si>
    <t xml:space="preserve">Demand position</t>
  </si>
  <si>
    <t xml:space="preserve">Characteristic</t>
  </si>
  <si>
    <t xml:space="preserve">Modifier</t>
  </si>
  <si>
    <t xml:space="preserve">Within cap (&lt;=100%)</t>
  </si>
  <si>
    <t xml:space="preserve">Demand at or below forecast</t>
  </si>
  <si>
    <t xml:space="preserve">101-110% of cap</t>
  </si>
  <si>
    <t xml:space="preserve">0-10% above forecast</t>
  </si>
  <si>
    <t xml:space="preserve">111-120% of cap</t>
  </si>
  <si>
    <t xml:space="preserve">10-20% above forecast</t>
  </si>
  <si>
    <t xml:space="preserve">121-130% of cap</t>
  </si>
  <si>
    <t xml:space="preserve">20-30% above forecast</t>
  </si>
  <si>
    <t xml:space="preserve">&gt;130% of cap</t>
  </si>
  <si>
    <t xml:space="preserve">More than 30% above forecast</t>
  </si>
  <si>
    <t xml:space="preserve">3b. Demand compliance - current demand / surge (on the day)</t>
  </si>
  <si>
    <t xml:space="preserve">Surge level</t>
  </si>
  <si>
    <t xml:space="preserve">Normal Demand</t>
  </si>
  <si>
    <t xml:space="preserve">At or below forecast</t>
  </si>
  <si>
    <t xml:space="preserve">Minor Surge</t>
  </si>
  <si>
    <t xml:space="preserve">Moderate Surge</t>
  </si>
  <si>
    <t xml:space="preserve">High Surge</t>
  </si>
  <si>
    <t xml:space="preserve">Critical Surge</t>
  </si>
  <si>
    <t xml:space="preserve">3c. Remaining SLA achievement risk</t>
  </si>
  <si>
    <t xml:space="preserve">SLA risk tier</t>
  </si>
  <si>
    <t xml:space="preserve">Recovery ratio (SLA deficit % / % of period remaining)</t>
  </si>
  <si>
    <t xml:space="preserve">Secure</t>
  </si>
  <si>
    <t xml:space="preserve">&lt;= 0.25</t>
  </si>
  <si>
    <t xml:space="preserve">Low Recovery Risk</t>
  </si>
  <si>
    <t xml:space="preserve">&gt; 0.25 and &lt;= 0.50</t>
  </si>
  <si>
    <t xml:space="preserve">Moderate Recovery Risk</t>
  </si>
  <si>
    <t xml:space="preserve">&gt; 0.50 and &lt;= 1.00</t>
  </si>
  <si>
    <t xml:space="preserve">High Recovery Risk</t>
  </si>
  <si>
    <t xml:space="preserve">&gt; 1.00 and &lt;= 2.00</t>
  </si>
  <si>
    <t xml:space="preserve">Critical Recovery Risk</t>
  </si>
  <si>
    <t xml:space="preserve">&gt; 2.00 (unlikely to recover)</t>
  </si>
  <si>
    <t xml:space="preserve">Double-penalty rule (Daryll): if month-to-date compliance is active, current-day surge defaults to Normal Demand (modifier 1) so a client is not penalised twice for the same problem.</t>
  </si>
  <si>
    <t xml:space="preserve">Guard rails - Bureau / hybrid resource model (static)</t>
  </si>
  <si>
    <t xml:space="preserve">Resource type</t>
  </si>
  <si>
    <t xml:space="preserve">Protected</t>
  </si>
  <si>
    <t xml:space="preserve">Flexible (can be moved)</t>
  </si>
  <si>
    <t xml:space="preserve">Dedicated client team</t>
  </si>
  <si>
    <t xml:space="preserve">Specialist / accredited resources</t>
  </si>
  <si>
    <t xml:space="preserve">Strategic clients</t>
  </si>
  <si>
    <t xml:space="preserve">Client-specific</t>
  </si>
  <si>
    <t xml:space="preserve">Diversion limits - by the home team's current resource status</t>
  </si>
  <si>
    <t xml:space="preserve">Resource status</t>
  </si>
  <si>
    <t xml:space="preserve">Maximum diversion allowed</t>
  </si>
  <si>
    <t xml:space="preserve">Surplus</t>
  </si>
  <si>
    <t xml:space="preserve">Up to 20%</t>
  </si>
  <si>
    <t xml:space="preserve">Comfortable</t>
  </si>
  <si>
    <t xml:space="preserve">Up to 15%</t>
  </si>
  <si>
    <t xml:space="preserve">Managed</t>
  </si>
  <si>
    <t xml:space="preserve">Up to 10%</t>
  </si>
  <si>
    <t xml:space="preserve">High Constraint</t>
  </si>
  <si>
    <t xml:space="preserve">Up to 5%</t>
  </si>
  <si>
    <t xml:space="preserve">Critical Constraint</t>
  </si>
  <si>
    <t xml:space="preserve">No diversion permitted</t>
  </si>
  <si>
    <t xml:space="preserve">Exception triggers (can override the limits when declared)</t>
  </si>
  <si>
    <t xml:space="preserve">Critical Customer Risk</t>
  </si>
  <si>
    <t xml:space="preserve">Safeguarding, vulnerability, life-critical or statutory obligations require immediate intervention</t>
  </si>
  <si>
    <t xml:space="preserve">Major Service Incident</t>
  </si>
  <si>
    <t xml:space="preserve">Significant operational disruption affecting service continuity</t>
  </si>
  <si>
    <t xml:space="preserve">Regulatory or Contractual Exposure</t>
  </si>
  <si>
    <t xml:space="preserve">Material risk of contractual failure, financial penalties or regulatory breach</t>
  </si>
  <si>
    <t xml:space="preserve">Business Continuity Event</t>
  </si>
  <si>
    <t xml:space="preserve">Disaster recovery, technology failure, site outage or emergency operational event</t>
  </si>
  <si>
    <t xml:space="preserve">Executive Priority Event</t>
  </si>
  <si>
    <t xml:space="preserve">An event formally designated as requiring organisation-wide support</t>
  </si>
  <si>
    <t xml:space="preserve">Supply Calculation - where should an available agent go?</t>
  </si>
  <si>
    <t xml:space="preserve">Flow: 1 Is the agent in a state we should check?  -&gt;  2 Which queues can they support?  -&gt;  3 Which of those are under pressure?  -&gt;  4 Rank them by business priority  -&gt;  5 Apply the guard rails  -&gt;  6 Decide: MOVE or REMAIN.</t>
  </si>
  <si>
    <t xml:space="preserve">STATUS:  Part A (priority score) is BUILT and tested against Daryll's spreadsheet.  Part B (selection, guard rails, decision) is a PROPOSED design using PLACEHOLDER values - nothing in Part B has been agreed or built yet. It is here so the business can react to a concrete example.</t>
  </si>
  <si>
    <t xml:space="preserve">Part A - Static priority score per queue (built and tested - mirrors Daryll's CX Rules Matrix)</t>
  </si>
  <si>
    <t xml:space="preserve">Group</t>
  </si>
  <si>
    <t xml:space="preserve">SLA tier</t>
  </si>
  <si>
    <t xml:space="preserve">Client value tier</t>
  </si>
  <si>
    <t xml:space="preserve">Journey stage</t>
  </si>
  <si>
    <t xml:space="preserve">Vuln. score</t>
  </si>
  <si>
    <t xml:space="preserve">SLA factored</t>
  </si>
  <si>
    <t xml:space="preserve">Client value factored</t>
  </si>
  <si>
    <t xml:space="preserve">Journey factored</t>
  </si>
  <si>
    <t xml:space="preserve">Priority score</t>
  </si>
  <si>
    <t xml:space="preserve">Mandatory priority?</t>
  </si>
  <si>
    <t xml:space="preserve">Total per CX Rules Matrix (typed)</t>
  </si>
  <si>
    <t xml:space="preserve">Ties to matrix?</t>
  </si>
  <si>
    <t xml:space="preserve">Rank by raw score</t>
  </si>
  <si>
    <t xml:space="preserve">Rank, mandatory first</t>
  </si>
  <si>
    <t xml:space="preserve">Ranking key</t>
  </si>
  <si>
    <t xml:space="preserve">Bureau 1</t>
  </si>
  <si>
    <t xml:space="preserve">Edge case (illustrative only)</t>
  </si>
  <si>
    <t xml:space="preserve">Edge case: a Moderate-vulnerability, VIP, Strategic, Onboarding queue scores 48.75 (13 x 2.5 x 1.5 x 1) - higher than a High-vulnerability queue at 40. Ranking by raw score alone (as the CX Rules Matrix does) would put it above the 'Mandatory Priority' queue. The 'mandatory first' rank fixes this. Confirm the intended behaviour with Daryll (Open Items #7).</t>
  </si>
  <si>
    <t xml:space="preserve">Part B - One agent, step by step (PROPOSED design, placeholder values - not agreed)</t>
  </si>
  <si>
    <t xml:space="preserve">Change the blue/purple cells to test situations. 'Things to try' at the bottom suggests some.</t>
  </si>
  <si>
    <t xml:space="preserve">Agent (example)</t>
  </si>
  <si>
    <t xml:space="preserve">Agent 1 (example)</t>
  </si>
  <si>
    <t xml:space="preserve">Agent's current state</t>
  </si>
  <si>
    <t xml:space="preserve">Agent's home queue</t>
  </si>
  <si>
    <t xml:space="preserve">Setting</t>
  </si>
  <si>
    <t xml:space="preserve">Status / source</t>
  </si>
  <si>
    <t xml:space="preserve">Minimum pressure for a queue to justify a move</t>
  </si>
  <si>
    <t xml:space="preserve">PLACEHOLDER - from the call: 'people only move if there is pressure'</t>
  </si>
  <si>
    <t xml:space="preserve">Minimum pressure gap: target minus home queue</t>
  </si>
  <si>
    <t xml:space="preserve">PLACEHOLDER - engineering draft rules file</t>
  </si>
  <si>
    <t xml:space="preserve">Cooldown after a move</t>
  </si>
  <si>
    <t xml:space="preserve">PLACEHOLDER - engineering draft rules file; single-event moves need rethinking</t>
  </si>
  <si>
    <t xml:space="preserve">Minimum agents remaining at home queue</t>
  </si>
  <si>
    <t xml:space="preserve">agents</t>
  </si>
  <si>
    <t xml:space="preserve">PLACEHOLDER - 'what is the % of?' still undecided</t>
  </si>
  <si>
    <t xml:space="preserve">Consecutive cycles a queue must stay under pressure</t>
  </si>
  <si>
    <t xml:space="preserve">cycles</t>
  </si>
  <si>
    <t xml:space="preserve">PLACEHOLDER - HLD 6.5; not yet built in the Lambda</t>
  </si>
  <si>
    <t xml:space="preserve">Flexible share of a dedicated team</t>
  </si>
  <si>
    <t xml:space="preserve">share</t>
  </si>
  <si>
    <t xml:space="preserve">Daryll's framework - ring-fencing (80% protected / 20% flexible)</t>
  </si>
  <si>
    <t xml:space="preserve">Live situation (illustrative - replace with live values)</t>
  </si>
  <si>
    <t xml:space="preserve">Seconds since this agent last moved</t>
  </si>
  <si>
    <t xml:space="preserve">Agents from the home team already flexed out</t>
  </si>
  <si>
    <t xml:space="preserve">Home team headcount today</t>
  </si>
  <si>
    <t xml:space="preserve">Home team resource status</t>
  </si>
  <si>
    <t xml:space="preserve">choose</t>
  </si>
  <si>
    <t xml:space="preserve">Home queue agents staffed</t>
  </si>
  <si>
    <t xml:space="preserve">Consecutive cycles the target queue has been under pressure</t>
  </si>
  <si>
    <t xml:space="preserve">Eligible for this agent? (from Agent Availability)</t>
  </si>
  <si>
    <t xml:space="preserve">Contacts waiting (illustrative)</t>
  </si>
  <si>
    <t xml:space="preserve">Pressure score (illustrative)</t>
  </si>
  <si>
    <t xml:space="preserve">Priority score (Part A)</t>
  </si>
  <si>
    <t xml:space="preserve">Passes pressure gate?</t>
  </si>
  <si>
    <t xml:space="preserve">Selection key</t>
  </si>
  <si>
    <t xml:space="preserve">Selection rank</t>
  </si>
  <si>
    <t xml:space="preserve">Selection rule (PROPOSED): only eligible queues that are under enough pressure qualify (a mandatory-priority queue with at least one contact waiting always qualifies). Qualifying queues are ranked by priority score - mandatory first - with pressure as the tie-break. This is one possible way to combine priority and pressure; it is NOT agreed (Open Items #1).</t>
  </si>
  <si>
    <t xml:space="preserve">Top-ranked target queue</t>
  </si>
  <si>
    <t xml:space="preserve">Target queue pressure</t>
  </si>
  <si>
    <t xml:space="preserve">Home queue pressure</t>
  </si>
  <si>
    <t xml:space="preserve">Guard rail / check</t>
  </si>
  <si>
    <t xml:space="preserve">Measured</t>
  </si>
  <si>
    <t xml:space="preserve">Required</t>
  </si>
  <si>
    <t xml:space="preserve">Rule source</t>
  </si>
  <si>
    <t xml:space="preserve">1. Agent is in a state that triggers a check</t>
  </si>
  <si>
    <t xml:space="preserve">HLD 2.1</t>
  </si>
  <si>
    <t xml:space="preserve">2. A queue passes eligibility and the pressure gate</t>
  </si>
  <si>
    <t xml:space="preserve">any queue</t>
  </si>
  <si>
    <t xml:space="preserve">HLD 7 - proposed</t>
  </si>
  <si>
    <t xml:space="preserve">3. Pressure gap: target minus home queue</t>
  </si>
  <si>
    <t xml:space="preserve">PLACEHOLDER</t>
  </si>
  <si>
    <t xml:space="preserve">4. Cooldown since this agent's last move (s)</t>
  </si>
  <si>
    <t xml:space="preserve">5. Home queue agents left after the move</t>
  </si>
  <si>
    <t xml:space="preserve">6. Flexible cap: agents flexed out after this move vs maximum allowed</t>
  </si>
  <si>
    <t xml:space="preserve">Daryll's framework</t>
  </si>
  <si>
    <t xml:space="preserve">7. Queue has stayed under pressure long enough (cycles)</t>
  </si>
  <si>
    <t xml:space="preserve">DECISION</t>
  </si>
  <si>
    <t xml:space="preserve">Reason (descriptive text only)</t>
  </si>
  <si>
    <t xml:space="preserve">Reason codes have not been defined yet, so the reason is free text (Open Items #11). The Decision Log table exists but nothing writes to it yet.</t>
  </si>
  <si>
    <t xml:space="preserve">Things to try</t>
  </si>
  <si>
    <t xml:space="preserve">1. On 'Agent Availability', set Hourglass_Tel to 1 under 'Profile on instance A'. The mandatory-priority queue is now selected ahead of busier queues even though only 1 contact is waiting - but the pressure-gap guard rail then blocks the move. Should guard rails apply to mandatory-priority moves? (Open Items #8)</t>
  </si>
  <si>
    <t xml:space="preserve">2. Set 'Home team resource status' to Critical Constraint: the flexible cap drops to zero and the agent must REMAIN.</t>
  </si>
  <si>
    <t xml:space="preserve">3. On 'Agent Availability', set the agent's state to 'On a contact': no check is triggered and the agent REMAINs.</t>
  </si>
  <si>
    <t xml:space="preserve">4. Notice the default result: Al_Jazeera_Tel is the busiest queue (pressure 88) but is not chosen - a higher-priority queue with less pressure wins. That is the priority-versus-pressure question the business needs to decide (Open Items #1).</t>
  </si>
  <si>
    <t xml:space="preserve">Validation - does this workbook reproduce the real system?</t>
  </si>
  <si>
    <t xml:space="preserve">Engineering-facing. Compares the workbook's formulas with (1) a real Lambda result, (2) what the demo front-end displays, and (3) Daryll's spreadsheet.</t>
  </si>
  <si>
    <t xml:space="preserve">1. Real Lambda output (dry run) vs this workbook</t>
  </si>
  <si>
    <t xml:space="preserve">Contacts</t>
  </si>
  <si>
    <t xml:space="preserve">Oldest (s)</t>
  </si>
  <si>
    <t xml:space="preserve">Available</t>
  </si>
  <si>
    <t xml:space="preserve">Staffed</t>
  </si>
  <si>
    <t xml:space="preserve">Lambda score</t>
  </si>
  <si>
    <t xml:space="preserve">Workbook score</t>
  </si>
  <si>
    <t xml:space="preserve">Difference</t>
  </si>
  <si>
    <t xml:space="preserve">Real Lambda dry-run</t>
  </si>
  <si>
    <t xml:space="preserve">Lambda component scores for this queue were: queue depth 0.1, oldest age 1, agent shortage 1, workload 0.3333 - the same components this workbook produces (0.1 x 0.35 + 1 x 0.35 + 1 x 0.20 + 0.3333 x 0.10 = 0.6183).</t>
  </si>
  <si>
    <t xml:space="preserve">2. What the demo front-end displays ('Sample' data source) vs this workbook</t>
  </si>
  <si>
    <t xml:space="preserve">Screen</t>
  </si>
  <si>
    <t xml:space="preserve">Screen score</t>
  </si>
  <si>
    <t xml:space="preserve">Screen 1</t>
  </si>
  <si>
    <t xml:space="preserve">Kings_Trust_Anything_Else</t>
  </si>
  <si>
    <t xml:space="preserve">Employee_Support_Hub_Plus_Tel</t>
  </si>
  <si>
    <t xml:space="preserve">BBC_Tel</t>
  </si>
  <si>
    <t xml:space="preserve">Amica_Tel</t>
  </si>
  <si>
    <t xml:space="preserve">Gamstop_Online_Update_Current_Exclusion_Tel</t>
  </si>
  <si>
    <t xml:space="preserve">Screen 2</t>
  </si>
  <si>
    <t xml:space="preserve">Rows that tie</t>
  </si>
  <si>
    <t xml:space="preserve">Rows that differ</t>
  </si>
  <si>
    <t xml:space="preserve">Reading: the workbook ties on the rows where every factor is at its limit, and differs on the rest (the screen shows lower scores). That suggests the demo front-end's Sample mode uses its own thresholds or weights, or its own generator, rather than the Lambda's defaults. Check with the front-end owner before the Sample screen is presented to the business as 'the calculation'. Screen values were read from photographs, so a few digits could be misread - but the differences are large and consistent, not random.</t>
  </si>
  <si>
    <t xml:space="preserve">3. Priority score vs Daryll's CX Rules Matrix</t>
  </si>
  <si>
    <t xml:space="preserve">Queues in this workbook that tie to the matrix</t>
  </si>
  <si>
    <t xml:space="preserve">of 8</t>
  </si>
  <si>
    <t xml:space="preserve">Full check done during the Lambda build</t>
  </si>
  <si>
    <t xml:space="preserve">48 of 48</t>
  </si>
  <si>
    <t xml:space="preserve">queues</t>
  </si>
  <si>
    <t xml:space="preserve">The 48-queue check compared the Lambda's calculation with every Bureau and RBL queue in the matrix extract (value x weights) and found no differences. Scope: this tests the formula, not the business ratings themselves. Only Bureau/RBL rows were extracted; Mind, GamStop, King's Trust and other dedicated rows are not yet loaded.</t>
  </si>
  <si>
    <t xml:space="preserve">Sources &amp; Open Items - where every number comes from, and what is not yet decided</t>
  </si>
  <si>
    <t xml:space="preserve">Status key:  Default = original system default, never reviewed by the business  |  Business rule = set by Daryll's framework  |  Placeholder = engineering draft, NOT agreed  |  Inferred = deduced from observed results</t>
  </si>
  <si>
    <t xml:space="preserve">1. Sources for every hard-coded value</t>
  </si>
  <si>
    <t xml:space="preserve">#</t>
  </si>
  <si>
    <t xml:space="preserve">Item</t>
  </si>
  <si>
    <t xml:space="preserve">Where used</t>
  </si>
  <si>
    <t xml:space="preserve">Weights: queue depth / oldest age / agent shortage / workload</t>
  </si>
  <si>
    <t xml:space="preserve">0.35 / 0.35 / 0.20 / 0.10</t>
  </si>
  <si>
    <t xml:space="preserve">Original starting configuration file supplied at the start of the project (demand_config_example.json). Never validated with the business.</t>
  </si>
  <si>
    <t xml:space="preserve">Thresholds: contacts / seconds / workload seconds</t>
  </si>
  <si>
    <t xml:space="preserve">10 / 300 / 1800</t>
  </si>
  <si>
    <t xml:space="preserve">Same configuration file.</t>
  </si>
  <si>
    <t xml:space="preserve">Default handle time</t>
  </si>
  <si>
    <t xml:space="preserve">600 seconds</t>
  </si>
  <si>
    <t xml:space="preserve">Same file. Used because handle-time data only refreshes once a day.</t>
  </si>
  <si>
    <t xml:space="preserve">180 seconds</t>
  </si>
  <si>
    <t xml:space="preserve">Same file.</t>
  </si>
  <si>
    <t xml:space="preserve">Pressure bands</t>
  </si>
  <si>
    <t xml:space="preserve">0 / 25 / 50 / 75 / 90</t>
  </si>
  <si>
    <t xml:space="preserve">Same file. The demo front-end labels bands differently (see Open Items #3).</t>
  </si>
  <si>
    <t xml:space="preserve">Agent-shortage formula (1 - available / staffed)</t>
  </si>
  <si>
    <t xml:space="preserve">Deduced from real results (0 of 0 = 1; 1 of 14 = 0.929 reproduces 98.57). Not read from source.</t>
  </si>
  <si>
    <t xml:space="preserve">Inferred</t>
  </si>
  <si>
    <t xml:space="preserve">Workload formula (contacts x handle time / 1800, capped)</t>
  </si>
  <si>
    <t xml:space="preserve">Deduced from a real result (1 x 600 / 1800 = 0.3333). Not read from source.</t>
  </si>
  <si>
    <t xml:space="preserve">Agent states that trigger a check</t>
  </si>
  <si>
    <t xml:space="preserve">Available only</t>
  </si>
  <si>
    <t xml:space="preserve">HLD sections 2.1 and 6.2 (design document).</t>
  </si>
  <si>
    <t xml:space="preserve">Business rule</t>
  </si>
  <si>
    <t xml:space="preserve">Vulnerability scores and Mandatory Priority threshold</t>
  </si>
  <si>
    <t xml:space="preserve">50 / 40 / 13 / 10 / 0; threshold 40</t>
  </si>
  <si>
    <t xml:space="preserve">Priority Framework</t>
  </si>
  <si>
    <t xml:space="preserve">Daryll's Framework v2 tab (transcribed from screenshots).</t>
  </si>
  <si>
    <t xml:space="preserve">SLA, Client Value, Journey Stage levels and weights</t>
  </si>
  <si>
    <t xml:space="preserve">50% / 30% / 20%</t>
  </si>
  <si>
    <t xml:space="preserve">Layer 3 modifiers and waiting-time tiers</t>
  </si>
  <si>
    <t xml:space="preserve">various</t>
  </si>
  <si>
    <t xml:space="preserve">Daryll's Framework v2 tab. Not yet used in any calculation.</t>
  </si>
  <si>
    <t xml:space="preserve">Ring-fencing 80% / 20%; diversion limits 20 / 15 / 10 / 5 / 0 %</t>
  </si>
  <si>
    <t xml:space="preserve">Priority Framework, Supply</t>
  </si>
  <si>
    <t xml:space="preserve">Daryll's Framework v2 tab.</t>
  </si>
  <si>
    <t xml:space="preserve">Minimum pressure to justify a move</t>
  </si>
  <si>
    <t xml:space="preserve">50</t>
  </si>
  <si>
    <t xml:space="preserve">Supply Calculation</t>
  </si>
  <si>
    <t xml:space="preserve">Engineering proposal, from the principle that agents only move when there is pressure.</t>
  </si>
  <si>
    <t xml:space="preserve">Placeholder</t>
  </si>
  <si>
    <t xml:space="preserve">Pressure gap / cooldown / minimum staffing / sustained cycles</t>
  </si>
  <si>
    <t xml:space="preserve">15 / 300 s / 2 / 2</t>
  </si>
  <si>
    <t xml:space="preserve">Engineering draft rules file. Not agreed.</t>
  </si>
  <si>
    <t xml:space="preserve">All queue ratings in Part A</t>
  </si>
  <si>
    <t xml:space="preserve">see sheet</t>
  </si>
  <si>
    <t xml:space="preserve">Daryll's CX Rules Matrix (real queue names and ratings).</t>
  </si>
  <si>
    <t xml:space="preserve">Pressure, contacts and agent-profile values in Part B</t>
  </si>
  <si>
    <t xml:space="preserve">Made up to illustrate the logic.</t>
  </si>
  <si>
    <t xml:space="preserve">2. Open items - what needs a decision or a check</t>
  </si>
  <si>
    <t xml:space="preserve">Owner (suggested)</t>
  </si>
  <si>
    <t xml:space="preserve">Why it matters</t>
  </si>
  <si>
    <t xml:space="preserve">Where it shows in this workbook</t>
  </si>
  <si>
    <t xml:space="preserve">Type</t>
  </si>
  <si>
    <t xml:space="preserve">How priority score and queue pressure combine when choosing a target queue</t>
  </si>
  <si>
    <t xml:space="preserve">Andrew / Daryll</t>
  </si>
  <si>
    <t xml:space="preserve">Two ranking signals exist and nobody has defined how they combine. Part B uses priority-first with a pressure gate, as a starting point only.</t>
  </si>
  <si>
    <t xml:space="preserve">Supply Calculation, Part B (see 'Things to try' #4)</t>
  </si>
  <si>
    <t xml:space="preserve">Decision</t>
  </si>
  <si>
    <t xml:space="preserve">Are the pressure weights and thresholds right?</t>
  </si>
  <si>
    <t xml:space="preserve">Gemma / Daryll</t>
  </si>
  <si>
    <t xml:space="preserve">They are the original starting defaults, never reviewed against operational judgement, unlike Daryll's framework values.</t>
  </si>
  <si>
    <t xml:space="preserve">Demand Pressure, section 1</t>
  </si>
  <si>
    <t xml:space="preserve">Band names and cut-offs differ between the Lambda and the front-end</t>
  </si>
  <si>
    <t xml:space="preserve">Andrew / front-end owner</t>
  </si>
  <si>
    <t xml:space="preserve">Lambda: Normal, Low, Medium, High, Critical (0/25/50/75/90). Screen: Normal, Elevated, High, Critical. Users would see different labels for the same score.</t>
  </si>
  <si>
    <t xml:space="preserve">Demand Pressure, bands</t>
  </si>
  <si>
    <t xml:space="preserve">Check</t>
  </si>
  <si>
    <t xml:space="preserve">Verify shortage and workload formulas against the Lambda source</t>
  </si>
  <si>
    <t xml:space="preserve">Engineering</t>
  </si>
  <si>
    <t xml:space="preserve">Deduced from real results; matches every real case tested, but edge cases (e.g. staffed = 0) are inferred.</t>
  </si>
  <si>
    <t xml:space="preserve">Demand Pressure; Validation</t>
  </si>
  <si>
    <t xml:space="preserve">Minimum staffing: what is the percentage OF, and what value?</t>
  </si>
  <si>
    <t xml:space="preserve">Daryll</t>
  </si>
  <si>
    <t xml:space="preserve">Total assigned, rostered today, or live-available give very different real numbers.</t>
  </si>
  <si>
    <t xml:space="preserve">Supply Calculation, setting 4</t>
  </si>
  <si>
    <t xml:space="preserve">Placeholder guard-rail values (cooldown, pressure gap, sustained cycles)</t>
  </si>
  <si>
    <t xml:space="preserve">Draft numbers only. A flat cooldown also does not suit single-event moves (e.g. one urgent call, then nothing for days).</t>
  </si>
  <si>
    <t xml:space="preserve">Supply Calculation, settings</t>
  </si>
  <si>
    <t xml:space="preserve">Ranking by raw score can outrank a mandatory-priority queue</t>
  </si>
  <si>
    <t xml:space="preserve">13 x 2.5 x 1.5 x 1 = 48.75, which beats a High-vulnerability score of 40. The 'mandatory first' rank in this workbook avoids this - confirm that is intended.</t>
  </si>
  <si>
    <t xml:space="preserve">Supply Calculation, Part A edge case</t>
  </si>
  <si>
    <t xml:space="preserve">Do guard rails and the pressure gate apply to mandatory-priority moves?</t>
  </si>
  <si>
    <t xml:space="preserve">A single urgent call on a critical line produces low pressure and a small gap, so guard rails could block exactly the case the framework is designed to protect.</t>
  </si>
  <si>
    <t xml:space="preserve">Supply Calculation, 'Things to try' #1</t>
  </si>
  <si>
    <t xml:space="preserve">Multiplicative (as in the matrix) or additive (as described on the call)?</t>
  </si>
  <si>
    <t xml:space="preserve">The matrix multiplies the factors. The worked example discussed on the call (85 vs 120) sounded additive. This workbook follows the matrix.</t>
  </si>
  <si>
    <t xml:space="preserve">Priority Framework, formula note</t>
  </si>
  <si>
    <t xml:space="preserve">Layer 3 modifiers and waiting-time tiers are defined but not built</t>
  </si>
  <si>
    <t xml:space="preserve">Andrew</t>
  </si>
  <si>
    <t xml:space="preserve">They exist in the framework but no calculation uses them yet. Queue age is the natural next step as the data already exists.</t>
  </si>
  <si>
    <t xml:space="preserve">Not built</t>
  </si>
  <si>
    <t xml:space="preserve">Reason codes and decision tiering are undefined</t>
  </si>
  <si>
    <t xml:space="preserve">The decision reason is free text. Reason codes and any approval tiers need designing before decisions are logged for review.</t>
  </si>
  <si>
    <t xml:space="preserve">Supply Calculation, decision</t>
  </si>
  <si>
    <t xml:space="preserve">Sustained-pressure / smoothing is not built in the Lambda</t>
  </si>
  <si>
    <t xml:space="preserve">Each calculation is a snapshot with no memory of the previous cycle (HLD 6.5 calls for smoothing).</t>
  </si>
  <si>
    <t xml:space="preserve">Supply Calculation, check 7</t>
  </si>
  <si>
    <t xml:space="preserve">Customer sentiment / repeat-caller parameter</t>
  </si>
  <si>
    <t xml:space="preserve">Floated as a suggestion only; would need new data capture (caller number history). Parked.</t>
  </si>
  <si>
    <t xml:space="preserve">Not modelled</t>
  </si>
  <si>
    <t xml:space="preserve">Parked</t>
  </si>
</sst>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
    <numFmt numFmtId="169" formatCode="General"/>
    <numFmt numFmtId="170"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95959"/>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0000FF"/>
      <name val="Arial"/>
      <family val="0"/>
      <charset val="1"/>
    </font>
    <font>
      <b val="true"/>
      <sz val="10"/>
      <color rgb="FF008000"/>
      <name val="Arial"/>
      <family val="0"/>
      <charset val="1"/>
    </font>
    <font>
      <sz val="9"/>
      <color rgb="FF000000"/>
      <name val="Arial"/>
      <family val="0"/>
      <charset val="1"/>
    </font>
    <font>
      <sz val="10"/>
      <color rgb="FF0000FF"/>
      <name val="Arial"/>
      <family val="0"/>
      <charset val="1"/>
    </font>
    <font>
      <i val="true"/>
      <sz val="10"/>
      <color rgb="FF000000"/>
      <name val="Arial"/>
      <family val="0"/>
      <charset val="1"/>
    </font>
    <font>
      <i val="true"/>
      <sz val="9"/>
      <color rgb="FF404040"/>
      <name val="Arial"/>
      <family val="0"/>
      <charset val="1"/>
    </font>
    <font>
      <b val="true"/>
      <sz val="9"/>
      <color rgb="FF404040"/>
      <name val="Arial"/>
      <family val="0"/>
      <charset val="1"/>
    </font>
    <font>
      <sz val="10"/>
      <color rgb="FF008000"/>
      <name val="Arial"/>
      <family val="0"/>
      <charset val="1"/>
    </font>
    <font>
      <b val="true"/>
      <sz val="12"/>
      <color rgb="FF000000"/>
      <name val="Arial"/>
      <family val="0"/>
      <charset val="1"/>
    </font>
    <font>
      <sz val="9"/>
      <color rgb="FF404040"/>
      <name val="Arial"/>
      <family val="0"/>
      <charset val="1"/>
    </font>
  </fonts>
  <fills count="12">
    <fill>
      <patternFill patternType="none"/>
    </fill>
    <fill>
      <patternFill patternType="gray125"/>
    </fill>
    <fill>
      <patternFill patternType="solid">
        <fgColor rgb="FF1F4E5F"/>
        <bgColor rgb="FF404040"/>
      </patternFill>
    </fill>
    <fill>
      <patternFill patternType="solid">
        <fgColor rgb="FFD9E1E2"/>
        <bgColor rgb="FFD9D9D9"/>
      </patternFill>
    </fill>
    <fill>
      <patternFill patternType="solid">
        <fgColor rgb="FFE2F0D9"/>
        <bgColor rgb="FFF2F2F2"/>
      </patternFill>
    </fill>
    <fill>
      <patternFill patternType="solid">
        <fgColor rgb="FFFFE699"/>
        <bgColor rgb="FFF8CBAD"/>
      </patternFill>
    </fill>
    <fill>
      <patternFill patternType="solid">
        <fgColor rgb="FFE4DFEC"/>
        <bgColor rgb="FFD9E1E2"/>
      </patternFill>
    </fill>
    <fill>
      <patternFill patternType="solid">
        <fgColor rgb="FFFFFF00"/>
        <bgColor rgb="FFFFFF00"/>
      </patternFill>
    </fill>
    <fill>
      <patternFill patternType="solid">
        <fgColor rgb="FFFFFFFF"/>
        <bgColor rgb="FFF2F2F2"/>
      </patternFill>
    </fill>
    <fill>
      <patternFill patternType="solid">
        <fgColor rgb="FF7F6000"/>
        <bgColor rgb="FF595959"/>
      </patternFill>
    </fill>
    <fill>
      <patternFill patternType="solid">
        <fgColor rgb="FF5B4A8A"/>
        <bgColor rgb="FF595959"/>
      </patternFill>
    </fill>
    <fill>
      <patternFill patternType="solid">
        <fgColor rgb="FFF2F2F2"/>
        <bgColor rgb="FFE2F0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9" borderId="0" xfId="0" applyFont="true" applyBorder="true" applyAlignment="true" applyProtection="false">
      <alignment horizontal="left" vertical="center" textRotation="0" wrapText="fals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7" fillId="6"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6" fontId="12" fillId="6"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7" fontId="7" fillId="7"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6" fillId="10" borderId="0"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15" fillId="5"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8" fontId="1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17" fillId="7" borderId="1" xfId="0" applyFont="true" applyBorder="true" applyAlignment="true" applyProtection="false">
      <alignment horizontal="left" vertical="center" textRotation="0" wrapText="fals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70" fontId="12" fillId="0" borderId="1" xfId="0" applyFont="true" applyBorder="true" applyAlignment="true" applyProtection="false">
      <alignment horizontal="center" vertical="center" textRotation="0" wrapText="false" indent="0" shrinkToFit="false"/>
      <protection locked="true" hidden="false"/>
    </xf>
    <xf numFmtId="170" fontId="16"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4" fontId="18" fillId="5"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4B6B6"/>
        </patternFill>
      </fill>
    </dxf>
    <dxf>
      <fill>
        <patternFill>
          <bgColor rgb="FFF8CBAD"/>
        </patternFill>
      </fill>
    </dxf>
    <dxf>
      <fill>
        <patternFill>
          <bgColor rgb="FFFFE699"/>
        </patternFill>
      </fill>
    </dxf>
    <dxf>
      <fill>
        <patternFill>
          <bgColor rgb="FFE2F0D9"/>
        </patternFill>
      </fill>
    </dxf>
    <dxf>
      <fill>
        <patternFill>
          <bgColor rgb="FFC6E0B4"/>
        </patternFill>
      </fill>
    </dxf>
    <dxf>
      <fill>
        <patternFill>
          <bgColor rgb="FFD9D9D9"/>
        </patternFill>
      </fill>
    </dxf>
    <dxf>
      <fill>
        <patternFill>
          <bgColor rgb="FFFFFF00"/>
        </patternFill>
      </fill>
    </dxf>
    <dxf>
      <font>
        <name val="Arial"/>
        <charset val="1"/>
        <family val="0"/>
        <b val="1"/>
        <color rgb="FF00803C"/>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3C"/>
      <rgbColor rgb="FFBFBFBF"/>
      <rgbColor rgb="FF7F7F7F"/>
      <rgbColor rgb="FF9999FF"/>
      <rgbColor rgb="FF993366"/>
      <rgbColor rgb="FFF2F2F2"/>
      <rgbColor rgb="FFD9E1E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F0D9"/>
      <rgbColor rgb="FFFFE699"/>
      <rgbColor rgb="FFC6E0B4"/>
      <rgbColor rgb="FFF4B6B6"/>
      <rgbColor rgb="FFCC99FF"/>
      <rgbColor rgb="FFF8CBAD"/>
      <rgbColor rgb="FF3366FF"/>
      <rgbColor rgb="FF33CCCC"/>
      <rgbColor rgb="FF99CC00"/>
      <rgbColor rgb="FFFFCC00"/>
      <rgbColor rgb="FFFF9900"/>
      <rgbColor rgb="FFFF6600"/>
      <rgbColor rgb="FF5B4A8A"/>
      <rgbColor rgb="FF70AD47"/>
      <rgbColor rgb="FF1F4E5F"/>
      <rgbColor rgb="FF339966"/>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A1:D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34"/>
    <col collapsed="false" customWidth="true" hidden="false" outlineLevel="0" max="4" min="4" style="0" width="42"/>
  </cols>
  <sheetData>
    <row r="1" customFormat="false" ht="24" hidden="false" customHeight="true" outlineLevel="0" collapsed="false">
      <c r="A1" s="1" t="s">
        <v>0</v>
      </c>
    </row>
    <row r="2" customFormat="false" ht="30" hidden="false" customHeight="true" outlineLevel="0" collapsed="false">
      <c r="A2" s="2" t="s">
        <v>1</v>
      </c>
      <c r="B2" s="2"/>
      <c r="C2" s="2"/>
      <c r="D2" s="2"/>
    </row>
    <row r="4" customFormat="false" ht="19.5" hidden="false" customHeight="true" outlineLevel="0" collapsed="false">
      <c r="A4" s="3" t="s">
        <v>2</v>
      </c>
      <c r="B4" s="3"/>
      <c r="C4" s="3"/>
      <c r="D4" s="3"/>
    </row>
    <row r="5" customFormat="false" ht="21.75" hidden="false" customHeight="true" outlineLevel="0" collapsed="false">
      <c r="A5" s="4" t="s">
        <v>3</v>
      </c>
      <c r="B5" s="4" t="s">
        <v>4</v>
      </c>
      <c r="C5" s="4" t="s">
        <v>5</v>
      </c>
      <c r="D5" s="4" t="s">
        <v>6</v>
      </c>
    </row>
    <row r="6" customFormat="false" ht="42" hidden="false" customHeight="true" outlineLevel="0" collapsed="false">
      <c r="A6" s="5" t="s">
        <v>7</v>
      </c>
      <c r="B6" s="6" t="s">
        <v>8</v>
      </c>
      <c r="C6" s="7" t="s">
        <v>9</v>
      </c>
      <c r="D6" s="6" t="s">
        <v>10</v>
      </c>
    </row>
    <row r="7" customFormat="false" ht="42" hidden="false" customHeight="true" outlineLevel="0" collapsed="false">
      <c r="A7" s="5" t="s">
        <v>11</v>
      </c>
      <c r="B7" s="6" t="s">
        <v>12</v>
      </c>
      <c r="C7" s="7" t="s">
        <v>9</v>
      </c>
      <c r="D7" s="6" t="s">
        <v>13</v>
      </c>
    </row>
    <row r="8" customFormat="false" ht="42" hidden="false" customHeight="true" outlineLevel="0" collapsed="false">
      <c r="A8" s="5" t="s">
        <v>14</v>
      </c>
      <c r="B8" s="6" t="s">
        <v>15</v>
      </c>
      <c r="C8" s="7" t="s">
        <v>16</v>
      </c>
      <c r="D8" s="6" t="s">
        <v>17</v>
      </c>
    </row>
    <row r="9" customFormat="false" ht="42" hidden="false" customHeight="true" outlineLevel="0" collapsed="false">
      <c r="A9" s="5" t="s">
        <v>18</v>
      </c>
      <c r="B9" s="6" t="s">
        <v>19</v>
      </c>
      <c r="C9" s="8" t="s">
        <v>20</v>
      </c>
      <c r="D9" s="6" t="s">
        <v>21</v>
      </c>
    </row>
    <row r="11" customFormat="false" ht="19.5" hidden="false" customHeight="true" outlineLevel="0" collapsed="false">
      <c r="A11" s="3" t="s">
        <v>22</v>
      </c>
      <c r="B11" s="3"/>
      <c r="C11" s="3"/>
      <c r="D11" s="3"/>
    </row>
    <row r="12" customFormat="false" ht="15" hidden="false" customHeight="false" outlineLevel="0" collapsed="false">
      <c r="A12" s="9" t="s">
        <v>23</v>
      </c>
      <c r="B12" s="10" t="s">
        <v>24</v>
      </c>
    </row>
    <row r="13" customFormat="false" ht="15" hidden="false" customHeight="false" outlineLevel="0" collapsed="false">
      <c r="A13" s="11" t="s">
        <v>25</v>
      </c>
      <c r="B13" s="10" t="s">
        <v>26</v>
      </c>
    </row>
    <row r="14" customFormat="false" ht="15" hidden="false" customHeight="false" outlineLevel="0" collapsed="false">
      <c r="A14" s="12" t="s">
        <v>27</v>
      </c>
      <c r="B14" s="10" t="s">
        <v>28</v>
      </c>
    </row>
    <row r="15" customFormat="false" ht="15" hidden="false" customHeight="false" outlineLevel="0" collapsed="false">
      <c r="A15" s="13" t="s">
        <v>29</v>
      </c>
      <c r="B15" s="10" t="s">
        <v>30</v>
      </c>
    </row>
    <row r="16" customFormat="false" ht="15" hidden="false" customHeight="false" outlineLevel="0" collapsed="false">
      <c r="A16" s="14" t="s">
        <v>31</v>
      </c>
      <c r="B16" s="10" t="s">
        <v>32</v>
      </c>
    </row>
    <row r="17" customFormat="false" ht="15" hidden="false" customHeight="false" outlineLevel="0" collapsed="false">
      <c r="A17" s="15" t="s">
        <v>33</v>
      </c>
      <c r="B17" s="10" t="s">
        <v>34</v>
      </c>
    </row>
    <row r="18" customFormat="false" ht="15" hidden="false" customHeight="false" outlineLevel="0" collapsed="false">
      <c r="A18" s="16" t="s">
        <v>35</v>
      </c>
      <c r="B18" s="10" t="s">
        <v>36</v>
      </c>
    </row>
    <row r="20" customFormat="false" ht="19.5" hidden="false" customHeight="true" outlineLevel="0" collapsed="false">
      <c r="A20" s="3" t="s">
        <v>37</v>
      </c>
      <c r="B20" s="3"/>
      <c r="C20" s="3"/>
      <c r="D20" s="3"/>
    </row>
    <row r="21" customFormat="false" ht="15.75" hidden="false" customHeight="true" outlineLevel="0" collapsed="false">
      <c r="A21" s="17" t="s">
        <v>38</v>
      </c>
      <c r="B21" s="17"/>
      <c r="C21" s="17"/>
      <c r="D21" s="17"/>
    </row>
    <row r="22" customFormat="false" ht="15.75" hidden="false" customHeight="true" outlineLevel="0" collapsed="false">
      <c r="A22" s="17" t="s">
        <v>39</v>
      </c>
      <c r="B22" s="17"/>
      <c r="C22" s="17"/>
      <c r="D22" s="17"/>
    </row>
    <row r="23" customFormat="false" ht="28.5" hidden="false" customHeight="true" outlineLevel="0" collapsed="false">
      <c r="A23" s="17" t="s">
        <v>40</v>
      </c>
      <c r="B23" s="17"/>
      <c r="C23" s="17"/>
      <c r="D23" s="17"/>
    </row>
    <row r="24" customFormat="false" ht="28.5" hidden="false" customHeight="true" outlineLevel="0" collapsed="false">
      <c r="A24" s="17" t="s">
        <v>41</v>
      </c>
      <c r="B24" s="17"/>
      <c r="C24" s="17"/>
      <c r="D24" s="17"/>
    </row>
    <row r="26" customFormat="false" ht="19.5" hidden="false" customHeight="true" outlineLevel="0" collapsed="false">
      <c r="A26" s="18" t="s">
        <v>42</v>
      </c>
      <c r="B26" s="18"/>
      <c r="C26" s="18"/>
      <c r="D26" s="18"/>
    </row>
    <row r="27" customFormat="false" ht="15.75" hidden="false" customHeight="true" outlineLevel="0" collapsed="false">
      <c r="A27" s="19" t="s">
        <v>43</v>
      </c>
      <c r="B27" s="19"/>
      <c r="C27" s="19"/>
      <c r="D27" s="19"/>
    </row>
    <row r="28" customFormat="false" ht="28.5" hidden="false" customHeight="true" outlineLevel="0" collapsed="false">
      <c r="A28" s="19" t="s">
        <v>44</v>
      </c>
      <c r="B28" s="19"/>
      <c r="C28" s="19"/>
      <c r="D28" s="19"/>
    </row>
    <row r="29" customFormat="false" ht="28.5" hidden="false" customHeight="true" outlineLevel="0" collapsed="false">
      <c r="A29" s="19" t="s">
        <v>45</v>
      </c>
      <c r="B29" s="19"/>
      <c r="C29" s="19"/>
      <c r="D29" s="19"/>
    </row>
  </sheetData>
  <mergeCells count="12">
    <mergeCell ref="A2:D2"/>
    <mergeCell ref="A4:D4"/>
    <mergeCell ref="A11:D11"/>
    <mergeCell ref="A20:D20"/>
    <mergeCell ref="A21:D21"/>
    <mergeCell ref="A22:D22"/>
    <mergeCell ref="A23:D23"/>
    <mergeCell ref="A24:D24"/>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U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7"/>
    <col collapsed="false" customWidth="true" hidden="false" outlineLevel="0" max="3" min="3" style="0" width="24"/>
    <col collapsed="false" customWidth="true" hidden="false" outlineLevel="0" max="5" min="4" style="0" width="11"/>
    <col collapsed="false" customWidth="true" hidden="false" outlineLevel="0" max="6" min="6" style="0" width="12"/>
    <col collapsed="false" customWidth="true" hidden="false" outlineLevel="0" max="8" min="7" style="0" width="11"/>
    <col collapsed="false" customWidth="true" hidden="false" outlineLevel="0" max="17" min="9" style="0" width="10"/>
    <col collapsed="false" customWidth="true" hidden="false" outlineLevel="0" max="19" min="18" style="0" width="11"/>
    <col collapsed="false" customWidth="true" hidden="false" outlineLevel="0" max="20" min="20" style="0" width="12"/>
    <col collapsed="false" customWidth="true" hidden="false" outlineLevel="0" max="21" min="21" style="0" width="8"/>
  </cols>
  <sheetData>
    <row r="1" customFormat="false" ht="24" hidden="false" customHeight="true" outlineLevel="0" collapsed="false">
      <c r="A1" s="1" t="s">
        <v>46</v>
      </c>
    </row>
    <row r="2" customFormat="false" ht="30" hidden="false" customHeight="true" outlineLevel="0" collapsed="false">
      <c r="A2" s="2" t="s">
        <v>47</v>
      </c>
      <c r="B2" s="2"/>
      <c r="C2" s="2"/>
      <c r="D2" s="2"/>
      <c r="E2" s="2"/>
      <c r="F2" s="2"/>
      <c r="G2" s="2"/>
      <c r="H2" s="2"/>
      <c r="I2" s="2"/>
      <c r="J2" s="2"/>
      <c r="K2" s="2"/>
      <c r="L2" s="2"/>
      <c r="M2" s="2"/>
      <c r="N2" s="2"/>
      <c r="O2" s="2"/>
      <c r="P2" s="2"/>
      <c r="Q2" s="2"/>
      <c r="R2" s="2"/>
      <c r="S2" s="2"/>
      <c r="T2" s="2"/>
      <c r="U2" s="2"/>
    </row>
    <row r="4" customFormat="false" ht="19.5" hidden="false" customHeight="true" outlineLevel="0" collapsed="false">
      <c r="A4" s="3" t="s">
        <v>48</v>
      </c>
      <c r="B4" s="3"/>
      <c r="C4" s="3"/>
      <c r="D4" s="3"/>
      <c r="E4" s="3"/>
      <c r="F4" s="3"/>
      <c r="G4" s="3"/>
      <c r="H4" s="3"/>
      <c r="I4" s="3"/>
      <c r="J4" s="3"/>
      <c r="K4" s="3"/>
      <c r="L4" s="3"/>
      <c r="M4" s="3"/>
      <c r="N4" s="3"/>
      <c r="O4" s="3"/>
      <c r="P4" s="3"/>
      <c r="Q4" s="3"/>
      <c r="R4" s="3"/>
      <c r="S4" s="3"/>
      <c r="T4" s="3"/>
      <c r="U4" s="3"/>
    </row>
    <row r="5" customFormat="false" ht="31.5" hidden="false" customHeight="true" outlineLevel="0" collapsed="false">
      <c r="A5" s="4" t="s">
        <v>49</v>
      </c>
      <c r="B5" s="4" t="s">
        <v>50</v>
      </c>
      <c r="C5" s="4" t="s">
        <v>51</v>
      </c>
      <c r="D5" s="4" t="s">
        <v>52</v>
      </c>
      <c r="E5" s="4" t="s">
        <v>53</v>
      </c>
      <c r="F5" s="4" t="s">
        <v>5</v>
      </c>
      <c r="G5" s="4" t="s">
        <v>54</v>
      </c>
    </row>
    <row r="6" customFormat="false" ht="27.75" hidden="false" customHeight="true" outlineLevel="0" collapsed="false">
      <c r="A6" s="9" t="s">
        <v>55</v>
      </c>
      <c r="B6" s="20" t="s">
        <v>56</v>
      </c>
      <c r="C6" s="21" t="n">
        <v>10</v>
      </c>
      <c r="D6" s="22" t="s">
        <v>57</v>
      </c>
      <c r="E6" s="23" t="n">
        <v>0.35</v>
      </c>
      <c r="F6" s="22" t="s">
        <v>58</v>
      </c>
      <c r="G6" s="24" t="s">
        <v>59</v>
      </c>
    </row>
    <row r="7" customFormat="false" ht="27.75" hidden="false" customHeight="true" outlineLevel="0" collapsed="false">
      <c r="A7" s="9" t="s">
        <v>60</v>
      </c>
      <c r="B7" s="20" t="s">
        <v>61</v>
      </c>
      <c r="C7" s="21" t="n">
        <v>300</v>
      </c>
      <c r="D7" s="22" t="s">
        <v>62</v>
      </c>
      <c r="E7" s="23" t="n">
        <v>0.35</v>
      </c>
      <c r="F7" s="22" t="s">
        <v>58</v>
      </c>
      <c r="G7" s="24" t="s">
        <v>59</v>
      </c>
    </row>
    <row r="8" customFormat="false" ht="27.75" hidden="false" customHeight="true" outlineLevel="0" collapsed="false">
      <c r="A8" s="9" t="s">
        <v>63</v>
      </c>
      <c r="B8" s="20" t="s">
        <v>64</v>
      </c>
      <c r="C8" s="21" t="s">
        <v>65</v>
      </c>
      <c r="D8" s="22" t="s">
        <v>66</v>
      </c>
      <c r="E8" s="23" t="n">
        <v>0.2</v>
      </c>
      <c r="F8" s="22" t="s">
        <v>58</v>
      </c>
      <c r="G8" s="24" t="s">
        <v>59</v>
      </c>
    </row>
    <row r="9" customFormat="false" ht="27.75" hidden="false" customHeight="true" outlineLevel="0" collapsed="false">
      <c r="A9" s="9" t="s">
        <v>67</v>
      </c>
      <c r="B9" s="20" t="s">
        <v>68</v>
      </c>
      <c r="C9" s="21" t="n">
        <v>1800</v>
      </c>
      <c r="D9" s="22" t="s">
        <v>69</v>
      </c>
      <c r="E9" s="23" t="n">
        <v>0.1</v>
      </c>
      <c r="F9" s="22" t="s">
        <v>58</v>
      </c>
      <c r="G9" s="24" t="s">
        <v>59</v>
      </c>
    </row>
    <row r="10" customFormat="false" ht="15" hidden="false" customHeight="false" outlineLevel="0" collapsed="false">
      <c r="A10" s="25" t="s">
        <v>70</v>
      </c>
      <c r="B10" s="10"/>
      <c r="C10" s="10"/>
      <c r="D10" s="10"/>
      <c r="E10" s="26" t="n">
        <f aca="false">SUM(E6:E9)</f>
        <v>1</v>
      </c>
      <c r="F10" s="27" t="str">
        <f aca="false">IF(ROUND(E10,4)=1,"OK","CHECK")</f>
        <v>OK</v>
      </c>
      <c r="G10" s="10"/>
    </row>
    <row r="12" customFormat="false" ht="19.5" hidden="false" customHeight="true" outlineLevel="0" collapsed="false">
      <c r="A12" s="4" t="s">
        <v>71</v>
      </c>
      <c r="B12" s="4" t="s">
        <v>72</v>
      </c>
      <c r="C12" s="4" t="s">
        <v>73</v>
      </c>
      <c r="D12" s="4" t="s">
        <v>52</v>
      </c>
    </row>
    <row r="13" customFormat="false" ht="27.75" hidden="false" customHeight="true" outlineLevel="0" collapsed="false">
      <c r="A13" s="9" t="s">
        <v>74</v>
      </c>
      <c r="B13" s="20" t="s">
        <v>75</v>
      </c>
      <c r="C13" s="21" t="n">
        <v>600</v>
      </c>
      <c r="D13" s="22" t="s">
        <v>62</v>
      </c>
    </row>
    <row r="14" customFormat="false" ht="27.75" hidden="false" customHeight="true" outlineLevel="0" collapsed="false">
      <c r="A14" s="9" t="s">
        <v>76</v>
      </c>
      <c r="B14" s="20" t="s">
        <v>77</v>
      </c>
      <c r="C14" s="21" t="n">
        <v>180</v>
      </c>
      <c r="D14" s="22" t="s">
        <v>62</v>
      </c>
    </row>
    <row r="15" customFormat="false" ht="27.75" hidden="false" customHeight="true" outlineLevel="0" collapsed="false">
      <c r="A15" s="9" t="s">
        <v>78</v>
      </c>
      <c r="B15" s="20" t="s">
        <v>79</v>
      </c>
      <c r="C15" s="21" t="n">
        <v>100</v>
      </c>
      <c r="D15" s="22" t="s">
        <v>80</v>
      </c>
    </row>
    <row r="17" customFormat="false" ht="19.5" hidden="false" customHeight="true" outlineLevel="0" collapsed="false">
      <c r="A17" s="4" t="s">
        <v>81</v>
      </c>
      <c r="B17" s="4" t="s">
        <v>82</v>
      </c>
      <c r="C17" s="4" t="s">
        <v>83</v>
      </c>
      <c r="D17" s="4"/>
    </row>
    <row r="18" customFormat="false" ht="15" hidden="false" customHeight="false" outlineLevel="0" collapsed="false">
      <c r="A18" s="9" t="s">
        <v>84</v>
      </c>
      <c r="B18" s="28" t="s">
        <v>85</v>
      </c>
      <c r="C18" s="21" t="n">
        <v>0</v>
      </c>
    </row>
    <row r="19" customFormat="false" ht="15" hidden="false" customHeight="false" outlineLevel="0" collapsed="false">
      <c r="A19" s="9" t="s">
        <v>86</v>
      </c>
      <c r="B19" s="28" t="s">
        <v>87</v>
      </c>
      <c r="C19" s="21" t="n">
        <v>25</v>
      </c>
    </row>
    <row r="20" customFormat="false" ht="15" hidden="false" customHeight="false" outlineLevel="0" collapsed="false">
      <c r="A20" s="9" t="s">
        <v>88</v>
      </c>
      <c r="B20" s="28" t="s">
        <v>89</v>
      </c>
      <c r="C20" s="21" t="n">
        <v>50</v>
      </c>
    </row>
    <row r="21" customFormat="false" ht="15" hidden="false" customHeight="false" outlineLevel="0" collapsed="false">
      <c r="A21" s="9" t="s">
        <v>90</v>
      </c>
      <c r="B21" s="28" t="s">
        <v>91</v>
      </c>
      <c r="C21" s="21" t="n">
        <v>75</v>
      </c>
    </row>
    <row r="22" customFormat="false" ht="15" hidden="false" customHeight="false" outlineLevel="0" collapsed="false">
      <c r="A22" s="9" t="s">
        <v>92</v>
      </c>
      <c r="B22" s="28" t="s">
        <v>93</v>
      </c>
      <c r="C22" s="21" t="n">
        <v>90</v>
      </c>
    </row>
    <row r="23" customFormat="false" ht="15.75" hidden="false" customHeight="true" outlineLevel="0" collapsed="false">
      <c r="A23" s="29" t="s">
        <v>94</v>
      </c>
      <c r="B23" s="29"/>
      <c r="C23" s="29"/>
      <c r="D23" s="29"/>
      <c r="E23" s="29"/>
      <c r="F23" s="29"/>
      <c r="G23" s="29"/>
      <c r="H23" s="29"/>
      <c r="I23" s="29"/>
      <c r="J23" s="29"/>
      <c r="K23" s="29"/>
      <c r="L23" s="29"/>
      <c r="M23" s="29"/>
      <c r="N23" s="29"/>
      <c r="O23" s="29"/>
      <c r="P23" s="29"/>
      <c r="Q23" s="29"/>
      <c r="R23" s="29"/>
      <c r="S23" s="29"/>
      <c r="T23" s="29"/>
      <c r="U23" s="29"/>
    </row>
    <row r="25" customFormat="false" ht="15" hidden="false" customHeight="false" outlineLevel="0" collapsed="false">
      <c r="A25" s="30" t="s">
        <v>95</v>
      </c>
      <c r="B25" s="31"/>
      <c r="C25" s="31"/>
      <c r="D25" s="31"/>
    </row>
    <row r="26" customFormat="false" ht="19.5" hidden="false" customHeight="true" outlineLevel="0" collapsed="false">
      <c r="A26" s="4" t="s">
        <v>49</v>
      </c>
      <c r="B26" s="4" t="s">
        <v>72</v>
      </c>
      <c r="C26" s="4" t="s">
        <v>96</v>
      </c>
      <c r="D26" s="4" t="s">
        <v>53</v>
      </c>
    </row>
    <row r="27" customFormat="false" ht="25.5" hidden="false" customHeight="true" outlineLevel="0" collapsed="false">
      <c r="A27" s="10" t="s">
        <v>97</v>
      </c>
      <c r="B27" s="6" t="s">
        <v>98</v>
      </c>
      <c r="C27" s="32" t="n">
        <v>600</v>
      </c>
      <c r="D27" s="33" t="n">
        <v>0</v>
      </c>
    </row>
    <row r="28" customFormat="false" ht="25.5" hidden="false" customHeight="true" outlineLevel="0" collapsed="false">
      <c r="A28" s="10" t="s">
        <v>99</v>
      </c>
      <c r="B28" s="6" t="s">
        <v>98</v>
      </c>
      <c r="C28" s="32" t="n">
        <v>1</v>
      </c>
      <c r="D28" s="33" t="n">
        <v>0</v>
      </c>
    </row>
    <row r="29" customFormat="false" ht="25.5" hidden="false" customHeight="true" outlineLevel="0" collapsed="false">
      <c r="A29" s="10" t="s">
        <v>100</v>
      </c>
      <c r="B29" s="6" t="s">
        <v>98</v>
      </c>
      <c r="C29" s="32" t="n">
        <v>0.5</v>
      </c>
      <c r="D29" s="33" t="n">
        <v>0</v>
      </c>
    </row>
    <row r="30" customFormat="false" ht="25.5" hidden="false" customHeight="true" outlineLevel="0" collapsed="false">
      <c r="A30" s="10" t="s">
        <v>101</v>
      </c>
      <c r="B30" s="6" t="s">
        <v>98</v>
      </c>
      <c r="C30" s="32" t="n">
        <v>1</v>
      </c>
      <c r="D30" s="33" t="n">
        <v>0</v>
      </c>
    </row>
    <row r="31" customFormat="false" ht="25.5" hidden="false" customHeight="true" outlineLevel="0" collapsed="false">
      <c r="A31" s="10" t="s">
        <v>102</v>
      </c>
      <c r="B31" s="6" t="s">
        <v>98</v>
      </c>
      <c r="C31" s="32" t="n">
        <v>5</v>
      </c>
      <c r="D31" s="33" t="n">
        <v>0</v>
      </c>
    </row>
    <row r="32" customFormat="false" ht="25.5" hidden="false" customHeight="true" outlineLevel="0" collapsed="false">
      <c r="A32" s="10" t="s">
        <v>103</v>
      </c>
      <c r="B32" s="6" t="s">
        <v>98</v>
      </c>
      <c r="C32" s="32" t="n">
        <v>20</v>
      </c>
      <c r="D32" s="33" t="n">
        <v>0</v>
      </c>
    </row>
    <row r="33" customFormat="false" ht="25.5" hidden="false" customHeight="true" outlineLevel="0" collapsed="false">
      <c r="A33" s="10" t="s">
        <v>104</v>
      </c>
      <c r="B33" s="6" t="s">
        <v>98</v>
      </c>
      <c r="C33" s="32" t="n">
        <v>80</v>
      </c>
      <c r="D33" s="33" t="n">
        <v>0</v>
      </c>
    </row>
    <row r="34" customFormat="false" ht="25.5" hidden="false" customHeight="true" outlineLevel="0" collapsed="false">
      <c r="A34" s="10" t="s">
        <v>105</v>
      </c>
      <c r="B34" s="6" t="s">
        <v>98</v>
      </c>
      <c r="C34" s="32" t="n">
        <v>20</v>
      </c>
      <c r="D34" s="33" t="n">
        <v>0</v>
      </c>
    </row>
    <row r="35" customFormat="false" ht="25.5" hidden="false" customHeight="true" outlineLevel="0" collapsed="false">
      <c r="A35" s="10" t="s">
        <v>106</v>
      </c>
      <c r="B35" s="6" t="s">
        <v>98</v>
      </c>
      <c r="C35" s="32" t="n">
        <v>300</v>
      </c>
      <c r="D35" s="33" t="n">
        <v>0</v>
      </c>
    </row>
    <row r="37" customFormat="false" ht="19.5" hidden="false" customHeight="true" outlineLevel="0" collapsed="false">
      <c r="A37" s="3" t="s">
        <v>107</v>
      </c>
      <c r="B37" s="3"/>
      <c r="C37" s="3"/>
      <c r="D37" s="3"/>
      <c r="E37" s="3"/>
      <c r="F37" s="3"/>
      <c r="G37" s="3"/>
      <c r="H37" s="3"/>
      <c r="I37" s="3"/>
      <c r="J37" s="3"/>
      <c r="K37" s="3"/>
      <c r="L37" s="3"/>
      <c r="M37" s="3"/>
      <c r="N37" s="3"/>
      <c r="O37" s="3"/>
      <c r="P37" s="3"/>
      <c r="Q37" s="3"/>
      <c r="R37" s="3"/>
      <c r="S37" s="3"/>
      <c r="T37" s="3"/>
      <c r="U37" s="3"/>
    </row>
    <row r="38" customFormat="false" ht="28.5" hidden="false" customHeight="true" outlineLevel="0" collapsed="false">
      <c r="A38" s="29" t="s">
        <v>108</v>
      </c>
      <c r="B38" s="29"/>
      <c r="C38" s="29"/>
      <c r="D38" s="29"/>
      <c r="E38" s="29"/>
      <c r="F38" s="29"/>
      <c r="G38" s="29"/>
      <c r="H38" s="29"/>
      <c r="I38" s="29"/>
      <c r="J38" s="29"/>
      <c r="K38" s="29"/>
      <c r="L38" s="29"/>
      <c r="M38" s="29"/>
      <c r="N38" s="29"/>
      <c r="O38" s="29"/>
      <c r="P38" s="29"/>
      <c r="Q38" s="29"/>
      <c r="R38" s="29"/>
      <c r="S38" s="29"/>
      <c r="T38" s="29"/>
      <c r="U38" s="29"/>
    </row>
    <row r="39" customFormat="false" ht="15" hidden="false" customHeight="false" outlineLevel="0" collapsed="false">
      <c r="D39" s="34" t="s">
        <v>109</v>
      </c>
      <c r="E39" s="34"/>
      <c r="F39" s="34"/>
      <c r="G39" s="34"/>
      <c r="H39" s="34"/>
      <c r="I39" s="34"/>
      <c r="J39" s="35" t="s">
        <v>110</v>
      </c>
      <c r="K39" s="35"/>
      <c r="L39" s="35"/>
      <c r="M39" s="35"/>
      <c r="N39" s="35" t="s">
        <v>111</v>
      </c>
      <c r="O39" s="35"/>
      <c r="P39" s="35"/>
      <c r="Q39" s="35"/>
      <c r="R39" s="35"/>
      <c r="S39" s="36" t="s">
        <v>112</v>
      </c>
      <c r="T39" s="36"/>
      <c r="U39" s="36"/>
    </row>
    <row r="40" customFormat="false" ht="43.5" hidden="false" customHeight="true" outlineLevel="0" collapsed="false">
      <c r="A40" s="4" t="s">
        <v>113</v>
      </c>
      <c r="B40" s="4" t="s">
        <v>114</v>
      </c>
      <c r="C40" s="4" t="s">
        <v>115</v>
      </c>
      <c r="D40" s="4" t="s">
        <v>116</v>
      </c>
      <c r="E40" s="4" t="s">
        <v>117</v>
      </c>
      <c r="F40" s="4" t="s">
        <v>118</v>
      </c>
      <c r="G40" s="4" t="s">
        <v>119</v>
      </c>
      <c r="H40" s="4" t="s">
        <v>120</v>
      </c>
      <c r="I40" s="4" t="s">
        <v>121</v>
      </c>
      <c r="J40" s="4" t="s">
        <v>55</v>
      </c>
      <c r="K40" s="4" t="s">
        <v>122</v>
      </c>
      <c r="L40" s="4" t="s">
        <v>123</v>
      </c>
      <c r="M40" s="4" t="s">
        <v>67</v>
      </c>
      <c r="N40" s="4" t="s">
        <v>124</v>
      </c>
      <c r="O40" s="4" t="s">
        <v>125</v>
      </c>
      <c r="P40" s="4" t="s">
        <v>126</v>
      </c>
      <c r="Q40" s="4" t="s">
        <v>127</v>
      </c>
      <c r="R40" s="4" t="s">
        <v>128</v>
      </c>
      <c r="S40" s="4" t="s">
        <v>129</v>
      </c>
      <c r="T40" s="4" t="s">
        <v>130</v>
      </c>
      <c r="U40" s="4" t="s">
        <v>131</v>
      </c>
    </row>
    <row r="41" customFormat="false" ht="15" hidden="false" customHeight="false" outlineLevel="0" collapsed="false">
      <c r="A41" s="25" t="s">
        <v>132</v>
      </c>
      <c r="B41" s="10" t="s">
        <v>133</v>
      </c>
      <c r="C41" s="37" t="s">
        <v>134</v>
      </c>
      <c r="D41" s="38" t="n">
        <v>30</v>
      </c>
      <c r="E41" s="38" t="n">
        <v>1</v>
      </c>
      <c r="F41" s="38" t="n">
        <v>415122</v>
      </c>
      <c r="G41" s="38" t="n">
        <v>0</v>
      </c>
      <c r="H41" s="38" t="n">
        <v>0</v>
      </c>
      <c r="I41" s="39" t="str">
        <f aca="false">IF(D41&gt;$C$14,"STALE","OK")</f>
        <v>OK</v>
      </c>
      <c r="J41" s="40" t="n">
        <f aca="false">MIN(E41/$C$6,1)</f>
        <v>0.1</v>
      </c>
      <c r="K41" s="40" t="n">
        <f aca="false">MIN(F41/$C$7,1)</f>
        <v>1</v>
      </c>
      <c r="L41" s="40" t="n">
        <f aca="false">IF(H41&lt;=0,1,MAX(0,MIN(1,1-G41/H41)))</f>
        <v>1</v>
      </c>
      <c r="M41" s="40" t="n">
        <f aca="false">MIN(E41*$C$13/$C$9,1)</f>
        <v>0.333333333333333</v>
      </c>
      <c r="N41" s="40" t="n">
        <f aca="false">J41*$E$6</f>
        <v>0.035</v>
      </c>
      <c r="O41" s="40" t="n">
        <f aca="false">K41*$E$7</f>
        <v>0.35</v>
      </c>
      <c r="P41" s="40" t="n">
        <f aca="false">L41*$E$8</f>
        <v>0.2</v>
      </c>
      <c r="Q41" s="40" t="n">
        <f aca="false">M41*$E$9</f>
        <v>0.0333333333333333</v>
      </c>
      <c r="R41" s="40" t="n">
        <f aca="false">SUM(N41:Q41)/$E$10</f>
        <v>0.618333333333333</v>
      </c>
      <c r="S41" s="41" t="n">
        <f aca="false">IF(I41="STALE","",IF(E41&lt;=0,0,ROUND(R41*$C$15,2)))</f>
        <v>61.83</v>
      </c>
      <c r="T41" s="27" t="str">
        <f aca="false">IF(S41="","STALE",INDEX($A$18:$A$22,MATCH(S41,$C$18:$C$22,1)))</f>
        <v>MEDIUM</v>
      </c>
      <c r="U41" s="39" t="n">
        <f aca="false">IF(S41="","",RANK(S41,$S$41:$S$50))</f>
        <v>4</v>
      </c>
    </row>
    <row r="42" customFormat="false" ht="15" hidden="false" customHeight="false" outlineLevel="0" collapsed="false">
      <c r="A42" s="25" t="s">
        <v>135</v>
      </c>
      <c r="B42" s="10" t="s">
        <v>133</v>
      </c>
      <c r="C42" s="37" t="s">
        <v>136</v>
      </c>
      <c r="D42" s="38" t="n">
        <v>30</v>
      </c>
      <c r="E42" s="38" t="n">
        <v>25</v>
      </c>
      <c r="F42" s="38" t="n">
        <v>527</v>
      </c>
      <c r="G42" s="38" t="n">
        <v>1</v>
      </c>
      <c r="H42" s="38" t="n">
        <v>14</v>
      </c>
      <c r="I42" s="39" t="str">
        <f aca="false">IF(D42&gt;$C$14,"STALE","OK")</f>
        <v>OK</v>
      </c>
      <c r="J42" s="40" t="n">
        <f aca="false">MIN(E42/$C$6,1)</f>
        <v>1</v>
      </c>
      <c r="K42" s="40" t="n">
        <f aca="false">MIN(F42/$C$7,1)</f>
        <v>1</v>
      </c>
      <c r="L42" s="40" t="n">
        <f aca="false">IF(H42&lt;=0,1,MAX(0,MIN(1,1-G42/H42)))</f>
        <v>0.928571428571429</v>
      </c>
      <c r="M42" s="40" t="n">
        <f aca="false">MIN(E42*$C$13/$C$9,1)</f>
        <v>1</v>
      </c>
      <c r="N42" s="40" t="n">
        <f aca="false">J42*$E$6</f>
        <v>0.35</v>
      </c>
      <c r="O42" s="40" t="n">
        <f aca="false">K42*$E$7</f>
        <v>0.35</v>
      </c>
      <c r="P42" s="40" t="n">
        <f aca="false">L42*$E$8</f>
        <v>0.185714285714286</v>
      </c>
      <c r="Q42" s="40" t="n">
        <f aca="false">M42*$E$9</f>
        <v>0.1</v>
      </c>
      <c r="R42" s="40" t="n">
        <f aca="false">SUM(N42:Q42)/$E$10</f>
        <v>0.985714285714286</v>
      </c>
      <c r="S42" s="41" t="n">
        <f aca="false">IF(I42="STALE","",IF(E42&lt;=0,0,ROUND(R42*$C$15,2)))</f>
        <v>98.57</v>
      </c>
      <c r="T42" s="27" t="str">
        <f aca="false">IF(S42="","STALE",INDEX($A$18:$A$22,MATCH(S42,$C$18:$C$22,1)))</f>
        <v>CRITICAL</v>
      </c>
      <c r="U42" s="39" t="n">
        <f aca="false">IF(S42="","",RANK(S42,$S$41:$S$50))</f>
        <v>3</v>
      </c>
    </row>
    <row r="43" customFormat="false" ht="15" hidden="false" customHeight="false" outlineLevel="0" collapsed="false">
      <c r="A43" s="25" t="s">
        <v>137</v>
      </c>
      <c r="B43" s="10" t="s">
        <v>133</v>
      </c>
      <c r="C43" s="37" t="s">
        <v>136</v>
      </c>
      <c r="D43" s="38" t="n">
        <v>30</v>
      </c>
      <c r="E43" s="38" t="n">
        <v>24</v>
      </c>
      <c r="F43" s="38" t="n">
        <v>492</v>
      </c>
      <c r="G43" s="38" t="n">
        <v>0</v>
      </c>
      <c r="H43" s="38" t="n">
        <v>9</v>
      </c>
      <c r="I43" s="39" t="str">
        <f aca="false">IF(D43&gt;$C$14,"STALE","OK")</f>
        <v>OK</v>
      </c>
      <c r="J43" s="40" t="n">
        <f aca="false">MIN(E43/$C$6,1)</f>
        <v>1</v>
      </c>
      <c r="K43" s="40" t="n">
        <f aca="false">MIN(F43/$C$7,1)</f>
        <v>1</v>
      </c>
      <c r="L43" s="40" t="n">
        <f aca="false">IF(H43&lt;=0,1,MAX(0,MIN(1,1-G43/H43)))</f>
        <v>1</v>
      </c>
      <c r="M43" s="40" t="n">
        <f aca="false">MIN(E43*$C$13/$C$9,1)</f>
        <v>1</v>
      </c>
      <c r="N43" s="40" t="n">
        <f aca="false">J43*$E$6</f>
        <v>0.35</v>
      </c>
      <c r="O43" s="40" t="n">
        <f aca="false">K43*$E$7</f>
        <v>0.35</v>
      </c>
      <c r="P43" s="40" t="n">
        <f aca="false">L43*$E$8</f>
        <v>0.2</v>
      </c>
      <c r="Q43" s="40" t="n">
        <f aca="false">M43*$E$9</f>
        <v>0.1</v>
      </c>
      <c r="R43" s="40" t="n">
        <f aca="false">SUM(N43:Q43)/$E$10</f>
        <v>1</v>
      </c>
      <c r="S43" s="41" t="n">
        <f aca="false">IF(I43="STALE","",IF(E43&lt;=0,0,ROUND(R43*$C$15,2)))</f>
        <v>100</v>
      </c>
      <c r="T43" s="27" t="str">
        <f aca="false">IF(S43="","STALE",INDEX($A$18:$A$22,MATCH(S43,$C$18:$C$22,1)))</f>
        <v>CRITICAL</v>
      </c>
      <c r="U43" s="39" t="n">
        <f aca="false">IF(S43="","",RANK(S43,$S$41:$S$50))</f>
        <v>1</v>
      </c>
    </row>
    <row r="44" customFormat="false" ht="15" hidden="false" customHeight="false" outlineLevel="0" collapsed="false">
      <c r="A44" s="25" t="s">
        <v>138</v>
      </c>
      <c r="B44" s="10" t="s">
        <v>139</v>
      </c>
      <c r="C44" s="37" t="s">
        <v>140</v>
      </c>
      <c r="D44" s="38" t="n">
        <v>30</v>
      </c>
      <c r="E44" s="38" t="n">
        <v>0</v>
      </c>
      <c r="F44" s="38" t="n">
        <v>0</v>
      </c>
      <c r="G44" s="38" t="n">
        <v>6</v>
      </c>
      <c r="H44" s="38" t="n">
        <v>9</v>
      </c>
      <c r="I44" s="39" t="str">
        <f aca="false">IF(D44&gt;$C$14,"STALE","OK")</f>
        <v>OK</v>
      </c>
      <c r="J44" s="40" t="n">
        <f aca="false">MIN(E44/$C$6,1)</f>
        <v>0</v>
      </c>
      <c r="K44" s="40" t="n">
        <f aca="false">MIN(F44/$C$7,1)</f>
        <v>0</v>
      </c>
      <c r="L44" s="40" t="n">
        <f aca="false">IF(H44&lt;=0,1,MAX(0,MIN(1,1-G44/H44)))</f>
        <v>0.333333333333333</v>
      </c>
      <c r="M44" s="40" t="n">
        <f aca="false">MIN(E44*$C$13/$C$9,1)</f>
        <v>0</v>
      </c>
      <c r="N44" s="40" t="n">
        <f aca="false">J44*$E$6</f>
        <v>0</v>
      </c>
      <c r="O44" s="40" t="n">
        <f aca="false">K44*$E$7</f>
        <v>0</v>
      </c>
      <c r="P44" s="40" t="n">
        <f aca="false">L44*$E$8</f>
        <v>0.0666666666666667</v>
      </c>
      <c r="Q44" s="40" t="n">
        <f aca="false">M44*$E$9</f>
        <v>0</v>
      </c>
      <c r="R44" s="40" t="n">
        <f aca="false">SUM(N44:Q44)/$E$10</f>
        <v>0.0666666666666667</v>
      </c>
      <c r="S44" s="41" t="n">
        <f aca="false">IF(I44="STALE","",IF(E44&lt;=0,0,ROUND(R44*$C$15,2)))</f>
        <v>0</v>
      </c>
      <c r="T44" s="27" t="str">
        <f aca="false">IF(S44="","STALE",INDEX($A$18:$A$22,MATCH(S44,$C$18:$C$22,1)))</f>
        <v>NORMAL</v>
      </c>
      <c r="U44" s="39" t="n">
        <f aca="false">IF(S44="","",RANK(S44,$S$41:$S$50))</f>
        <v>9</v>
      </c>
    </row>
    <row r="45" customFormat="false" ht="15" hidden="false" customHeight="false" outlineLevel="0" collapsed="false">
      <c r="A45" s="25" t="s">
        <v>141</v>
      </c>
      <c r="B45" s="10" t="s">
        <v>139</v>
      </c>
      <c r="C45" s="37" t="s">
        <v>140</v>
      </c>
      <c r="D45" s="38" t="n">
        <v>30</v>
      </c>
      <c r="E45" s="38" t="n">
        <v>1</v>
      </c>
      <c r="F45" s="38" t="n">
        <v>900</v>
      </c>
      <c r="G45" s="38" t="n">
        <v>0</v>
      </c>
      <c r="H45" s="38" t="n">
        <v>4</v>
      </c>
      <c r="I45" s="39" t="str">
        <f aca="false">IF(D45&gt;$C$14,"STALE","OK")</f>
        <v>OK</v>
      </c>
      <c r="J45" s="40" t="n">
        <f aca="false">MIN(E45/$C$6,1)</f>
        <v>0.1</v>
      </c>
      <c r="K45" s="40" t="n">
        <f aca="false">MIN(F45/$C$7,1)</f>
        <v>1</v>
      </c>
      <c r="L45" s="40" t="n">
        <f aca="false">IF(H45&lt;=0,1,MAX(0,MIN(1,1-G45/H45)))</f>
        <v>1</v>
      </c>
      <c r="M45" s="40" t="n">
        <f aca="false">MIN(E45*$C$13/$C$9,1)</f>
        <v>0.333333333333333</v>
      </c>
      <c r="N45" s="40" t="n">
        <f aca="false">J45*$E$6</f>
        <v>0.035</v>
      </c>
      <c r="O45" s="40" t="n">
        <f aca="false">K45*$E$7</f>
        <v>0.35</v>
      </c>
      <c r="P45" s="40" t="n">
        <f aca="false">L45*$E$8</f>
        <v>0.2</v>
      </c>
      <c r="Q45" s="40" t="n">
        <f aca="false">M45*$E$9</f>
        <v>0.0333333333333333</v>
      </c>
      <c r="R45" s="40" t="n">
        <f aca="false">SUM(N45:Q45)/$E$10</f>
        <v>0.618333333333333</v>
      </c>
      <c r="S45" s="41" t="n">
        <f aca="false">IF(I45="STALE","",IF(E45&lt;=0,0,ROUND(R45*$C$15,2)))</f>
        <v>61.83</v>
      </c>
      <c r="T45" s="27" t="str">
        <f aca="false">IF(S45="","STALE",INDEX($A$18:$A$22,MATCH(S45,$C$18:$C$22,1)))</f>
        <v>MEDIUM</v>
      </c>
      <c r="U45" s="39" t="n">
        <f aca="false">IF(S45="","",RANK(S45,$S$41:$S$50))</f>
        <v>4</v>
      </c>
    </row>
    <row r="46" customFormat="false" ht="15" hidden="false" customHeight="false" outlineLevel="0" collapsed="false">
      <c r="A46" s="25" t="s">
        <v>142</v>
      </c>
      <c r="B46" s="10" t="s">
        <v>139</v>
      </c>
      <c r="C46" s="37" t="s">
        <v>140</v>
      </c>
      <c r="D46" s="38" t="n">
        <v>30</v>
      </c>
      <c r="E46" s="38" t="n">
        <v>12</v>
      </c>
      <c r="F46" s="38" t="n">
        <v>90</v>
      </c>
      <c r="G46" s="38" t="n">
        <v>6</v>
      </c>
      <c r="H46" s="38" t="n">
        <v>8</v>
      </c>
      <c r="I46" s="39" t="str">
        <f aca="false">IF(D46&gt;$C$14,"STALE","OK")</f>
        <v>OK</v>
      </c>
      <c r="J46" s="40" t="n">
        <f aca="false">MIN(E46/$C$6,1)</f>
        <v>1</v>
      </c>
      <c r="K46" s="40" t="n">
        <f aca="false">MIN(F46/$C$7,1)</f>
        <v>0.3</v>
      </c>
      <c r="L46" s="40" t="n">
        <f aca="false">IF(H46&lt;=0,1,MAX(0,MIN(1,1-G46/H46)))</f>
        <v>0.25</v>
      </c>
      <c r="M46" s="40" t="n">
        <f aca="false">MIN(E46*$C$13/$C$9,1)</f>
        <v>1</v>
      </c>
      <c r="N46" s="40" t="n">
        <f aca="false">J46*$E$6</f>
        <v>0.35</v>
      </c>
      <c r="O46" s="40" t="n">
        <f aca="false">K46*$E$7</f>
        <v>0.105</v>
      </c>
      <c r="P46" s="40" t="n">
        <f aca="false">L46*$E$8</f>
        <v>0.05</v>
      </c>
      <c r="Q46" s="40" t="n">
        <f aca="false">M46*$E$9</f>
        <v>0.1</v>
      </c>
      <c r="R46" s="40" t="n">
        <f aca="false">SUM(N46:Q46)/$E$10</f>
        <v>0.605</v>
      </c>
      <c r="S46" s="41" t="n">
        <f aca="false">IF(I46="STALE","",IF(E46&lt;=0,0,ROUND(R46*$C$15,2)))</f>
        <v>60.5</v>
      </c>
      <c r="T46" s="27" t="str">
        <f aca="false">IF(S46="","STALE",INDEX($A$18:$A$22,MATCH(S46,$C$18:$C$22,1)))</f>
        <v>MEDIUM</v>
      </c>
      <c r="U46" s="39" t="n">
        <f aca="false">IF(S46="","",RANK(S46,$S$41:$S$50))</f>
        <v>6</v>
      </c>
    </row>
    <row r="47" customFormat="false" ht="15" hidden="false" customHeight="false" outlineLevel="0" collapsed="false">
      <c r="A47" s="25" t="s">
        <v>143</v>
      </c>
      <c r="B47" s="10" t="s">
        <v>139</v>
      </c>
      <c r="C47" s="37" t="s">
        <v>140</v>
      </c>
      <c r="D47" s="38" t="n">
        <v>30</v>
      </c>
      <c r="E47" s="38" t="n">
        <v>6</v>
      </c>
      <c r="F47" s="38" t="n">
        <v>45</v>
      </c>
      <c r="G47" s="38" t="n">
        <v>1</v>
      </c>
      <c r="H47" s="38" t="n">
        <v>8</v>
      </c>
      <c r="I47" s="39" t="str">
        <f aca="false">IF(D47&gt;$C$14,"STALE","OK")</f>
        <v>OK</v>
      </c>
      <c r="J47" s="40" t="n">
        <f aca="false">MIN(E47/$C$6,1)</f>
        <v>0.6</v>
      </c>
      <c r="K47" s="40" t="n">
        <f aca="false">MIN(F47/$C$7,1)</f>
        <v>0.15</v>
      </c>
      <c r="L47" s="40" t="n">
        <f aca="false">IF(H47&lt;=0,1,MAX(0,MIN(1,1-G47/H47)))</f>
        <v>0.875</v>
      </c>
      <c r="M47" s="40" t="n">
        <f aca="false">MIN(E47*$C$13/$C$9,1)</f>
        <v>1</v>
      </c>
      <c r="N47" s="40" t="n">
        <f aca="false">J47*$E$6</f>
        <v>0.21</v>
      </c>
      <c r="O47" s="40" t="n">
        <f aca="false">K47*$E$7</f>
        <v>0.0525</v>
      </c>
      <c r="P47" s="40" t="n">
        <f aca="false">L47*$E$8</f>
        <v>0.175</v>
      </c>
      <c r="Q47" s="40" t="n">
        <f aca="false">M47*$E$9</f>
        <v>0.1</v>
      </c>
      <c r="R47" s="40" t="n">
        <f aca="false">SUM(N47:Q47)/$E$10</f>
        <v>0.5375</v>
      </c>
      <c r="S47" s="41" t="n">
        <f aca="false">IF(I47="STALE","",IF(E47&lt;=0,0,ROUND(R47*$C$15,2)))</f>
        <v>53.75</v>
      </c>
      <c r="T47" s="27" t="str">
        <f aca="false">IF(S47="","STALE",INDEX($A$18:$A$22,MATCH(S47,$C$18:$C$22,1)))</f>
        <v>MEDIUM</v>
      </c>
      <c r="U47" s="39" t="n">
        <f aca="false">IF(S47="","",RANK(S47,$S$41:$S$50))</f>
        <v>8</v>
      </c>
    </row>
    <row r="48" customFormat="false" ht="15" hidden="false" customHeight="false" outlineLevel="0" collapsed="false">
      <c r="A48" s="25" t="s">
        <v>144</v>
      </c>
      <c r="B48" s="10" t="s">
        <v>139</v>
      </c>
      <c r="C48" s="37" t="s">
        <v>140</v>
      </c>
      <c r="D48" s="38" t="n">
        <v>30</v>
      </c>
      <c r="E48" s="38" t="n">
        <v>5</v>
      </c>
      <c r="F48" s="38" t="n">
        <v>150</v>
      </c>
      <c r="G48" s="38" t="n">
        <v>2</v>
      </c>
      <c r="H48" s="38" t="n">
        <v>6</v>
      </c>
      <c r="I48" s="39" t="str">
        <f aca="false">IF(D48&gt;$C$14,"STALE","OK")</f>
        <v>OK</v>
      </c>
      <c r="J48" s="40" t="n">
        <f aca="false">MIN(E48/$C$6,1)</f>
        <v>0.5</v>
      </c>
      <c r="K48" s="40" t="n">
        <f aca="false">MIN(F48/$C$7,1)</f>
        <v>0.5</v>
      </c>
      <c r="L48" s="40" t="n">
        <f aca="false">IF(H48&lt;=0,1,MAX(0,MIN(1,1-G48/H48)))</f>
        <v>0.666666666666667</v>
      </c>
      <c r="M48" s="40" t="n">
        <f aca="false">MIN(E48*$C$13/$C$9,1)</f>
        <v>1</v>
      </c>
      <c r="N48" s="40" t="n">
        <f aca="false">J48*$E$6</f>
        <v>0.175</v>
      </c>
      <c r="O48" s="40" t="n">
        <f aca="false">K48*$E$7</f>
        <v>0.175</v>
      </c>
      <c r="P48" s="40" t="n">
        <f aca="false">L48*$E$8</f>
        <v>0.133333333333333</v>
      </c>
      <c r="Q48" s="40" t="n">
        <f aca="false">M48*$E$9</f>
        <v>0.1</v>
      </c>
      <c r="R48" s="40" t="n">
        <f aca="false">SUM(N48:Q48)/$E$10</f>
        <v>0.583333333333333</v>
      </c>
      <c r="S48" s="41" t="n">
        <f aca="false">IF(I48="STALE","",IF(E48&lt;=0,0,ROUND(R48*$C$15,2)))</f>
        <v>58.33</v>
      </c>
      <c r="T48" s="27" t="str">
        <f aca="false">IF(S48="","STALE",INDEX($A$18:$A$22,MATCH(S48,$C$18:$C$22,1)))</f>
        <v>MEDIUM</v>
      </c>
      <c r="U48" s="39" t="n">
        <f aca="false">IF(S48="","",RANK(S48,$S$41:$S$50))</f>
        <v>7</v>
      </c>
    </row>
    <row r="49" customFormat="false" ht="15" hidden="false" customHeight="false" outlineLevel="0" collapsed="false">
      <c r="A49" s="25" t="s">
        <v>145</v>
      </c>
      <c r="B49" s="10" t="s">
        <v>139</v>
      </c>
      <c r="C49" s="37" t="s">
        <v>140</v>
      </c>
      <c r="D49" s="38" t="n">
        <v>30</v>
      </c>
      <c r="E49" s="38" t="n">
        <v>15</v>
      </c>
      <c r="F49" s="38" t="n">
        <v>400</v>
      </c>
      <c r="G49" s="38" t="n">
        <v>0</v>
      </c>
      <c r="H49" s="38" t="n">
        <v>5</v>
      </c>
      <c r="I49" s="39" t="str">
        <f aca="false">IF(D49&gt;$C$14,"STALE","OK")</f>
        <v>OK</v>
      </c>
      <c r="J49" s="40" t="n">
        <f aca="false">MIN(E49/$C$6,1)</f>
        <v>1</v>
      </c>
      <c r="K49" s="40" t="n">
        <f aca="false">MIN(F49/$C$7,1)</f>
        <v>1</v>
      </c>
      <c r="L49" s="40" t="n">
        <f aca="false">IF(H49&lt;=0,1,MAX(0,MIN(1,1-G49/H49)))</f>
        <v>1</v>
      </c>
      <c r="M49" s="40" t="n">
        <f aca="false">MIN(E49*$C$13/$C$9,1)</f>
        <v>1</v>
      </c>
      <c r="N49" s="40" t="n">
        <f aca="false">J49*$E$6</f>
        <v>0.35</v>
      </c>
      <c r="O49" s="40" t="n">
        <f aca="false">K49*$E$7</f>
        <v>0.35</v>
      </c>
      <c r="P49" s="40" t="n">
        <f aca="false">L49*$E$8</f>
        <v>0.2</v>
      </c>
      <c r="Q49" s="40" t="n">
        <f aca="false">M49*$E$9</f>
        <v>0.1</v>
      </c>
      <c r="R49" s="40" t="n">
        <f aca="false">SUM(N49:Q49)/$E$10</f>
        <v>1</v>
      </c>
      <c r="S49" s="41" t="n">
        <f aca="false">IF(I49="STALE","",IF(E49&lt;=0,0,ROUND(R49*$C$15,2)))</f>
        <v>100</v>
      </c>
      <c r="T49" s="27" t="str">
        <f aca="false">IF(S49="","STALE",INDEX($A$18:$A$22,MATCH(S49,$C$18:$C$22,1)))</f>
        <v>CRITICAL</v>
      </c>
      <c r="U49" s="39" t="n">
        <f aca="false">IF(S49="","",RANK(S49,$S$41:$S$50))</f>
        <v>1</v>
      </c>
    </row>
    <row r="50" customFormat="false" ht="15" hidden="false" customHeight="false" outlineLevel="0" collapsed="false">
      <c r="A50" s="25" t="s">
        <v>146</v>
      </c>
      <c r="B50" s="10" t="s">
        <v>139</v>
      </c>
      <c r="C50" s="37" t="s">
        <v>140</v>
      </c>
      <c r="D50" s="38" t="n">
        <v>300</v>
      </c>
      <c r="E50" s="38" t="n">
        <v>8</v>
      </c>
      <c r="F50" s="38" t="n">
        <v>200</v>
      </c>
      <c r="G50" s="38" t="n">
        <v>2</v>
      </c>
      <c r="H50" s="38" t="n">
        <v>6</v>
      </c>
      <c r="I50" s="39" t="str">
        <f aca="false">IF(D50&gt;$C$14,"STALE","OK")</f>
        <v>STALE</v>
      </c>
      <c r="J50" s="40" t="n">
        <f aca="false">MIN(E50/$C$6,1)</f>
        <v>0.8</v>
      </c>
      <c r="K50" s="40" t="n">
        <f aca="false">MIN(F50/$C$7,1)</f>
        <v>0.666666666666667</v>
      </c>
      <c r="L50" s="40" t="n">
        <f aca="false">IF(H50&lt;=0,1,MAX(0,MIN(1,1-G50/H50)))</f>
        <v>0.666666666666667</v>
      </c>
      <c r="M50" s="40" t="n">
        <f aca="false">MIN(E50*$C$13/$C$9,1)</f>
        <v>1</v>
      </c>
      <c r="N50" s="40" t="n">
        <f aca="false">J50*$E$6</f>
        <v>0.28</v>
      </c>
      <c r="O50" s="40" t="n">
        <f aca="false">K50*$E$7</f>
        <v>0.233333333333333</v>
      </c>
      <c r="P50" s="40" t="n">
        <f aca="false">L50*$E$8</f>
        <v>0.133333333333333</v>
      </c>
      <c r="Q50" s="40" t="n">
        <f aca="false">M50*$E$9</f>
        <v>0.1</v>
      </c>
      <c r="R50" s="40" t="n">
        <f aca="false">SUM(N50:Q50)/$E$10</f>
        <v>0.746666666666667</v>
      </c>
      <c r="S50" s="41" t="str">
        <f aca="false">IF(I50="STALE","",IF(E50&lt;=0,0,ROUND(R50*$C$15,2)))</f>
        <v/>
      </c>
      <c r="T50" s="27" t="str">
        <f aca="false">IF(S50="","STALE",INDEX($A$18:$A$22,MATCH(S50,$C$18:$C$22,1)))</f>
        <v>STALE</v>
      </c>
      <c r="U50" s="39" t="str">
        <f aca="false">IF(S50="","",RANK(S50,$S$41:$S$50))</f>
        <v/>
      </c>
    </row>
    <row r="52" customFormat="false" ht="28.5" hidden="false" customHeight="true" outlineLevel="0" collapsed="false">
      <c r="A52" s="29" t="s">
        <v>147</v>
      </c>
      <c r="B52" s="29"/>
      <c r="C52" s="29"/>
      <c r="D52" s="29"/>
      <c r="E52" s="29"/>
      <c r="F52" s="29"/>
      <c r="G52" s="29"/>
      <c r="H52" s="29"/>
      <c r="I52" s="29"/>
      <c r="J52" s="29"/>
      <c r="K52" s="29"/>
      <c r="L52" s="29"/>
      <c r="M52" s="29"/>
      <c r="N52" s="29"/>
      <c r="O52" s="29"/>
      <c r="P52" s="29"/>
      <c r="Q52" s="29"/>
      <c r="R52" s="29"/>
      <c r="S52" s="29"/>
      <c r="T52" s="29"/>
      <c r="U52" s="29"/>
    </row>
    <row r="53" customFormat="false" ht="15.75" hidden="false" customHeight="true" outlineLevel="0" collapsed="false">
      <c r="A53" s="29" t="s">
        <v>148</v>
      </c>
      <c r="B53" s="29"/>
      <c r="C53" s="29"/>
      <c r="D53" s="29"/>
      <c r="E53" s="29"/>
      <c r="F53" s="29"/>
      <c r="G53" s="29"/>
      <c r="H53" s="29"/>
      <c r="I53" s="29"/>
      <c r="J53" s="29"/>
      <c r="K53" s="29"/>
      <c r="L53" s="29"/>
      <c r="M53" s="29"/>
      <c r="N53" s="29"/>
      <c r="O53" s="29"/>
      <c r="P53" s="29"/>
      <c r="Q53" s="29"/>
      <c r="R53" s="29"/>
      <c r="S53" s="29"/>
      <c r="T53" s="29"/>
      <c r="U53" s="29"/>
    </row>
    <row r="54" customFormat="false" ht="28.5" hidden="false" customHeight="true" outlineLevel="0" collapsed="false">
      <c r="A54" s="29" t="s">
        <v>149</v>
      </c>
      <c r="B54" s="29"/>
      <c r="C54" s="29"/>
      <c r="D54" s="29"/>
      <c r="E54" s="29"/>
      <c r="F54" s="29"/>
      <c r="G54" s="29"/>
      <c r="H54" s="29"/>
      <c r="I54" s="29"/>
      <c r="J54" s="29"/>
      <c r="K54" s="29"/>
      <c r="L54" s="29"/>
      <c r="M54" s="29"/>
      <c r="N54" s="29"/>
      <c r="O54" s="29"/>
      <c r="P54" s="29"/>
      <c r="Q54" s="29"/>
      <c r="R54" s="29"/>
      <c r="S54" s="29"/>
      <c r="T54" s="29"/>
      <c r="U54" s="29"/>
    </row>
  </sheetData>
  <mergeCells count="12">
    <mergeCell ref="A2:U2"/>
    <mergeCell ref="A4:U4"/>
    <mergeCell ref="A23:U23"/>
    <mergeCell ref="A37:U37"/>
    <mergeCell ref="A38:U38"/>
    <mergeCell ref="D39:I39"/>
    <mergeCell ref="J39:M39"/>
    <mergeCell ref="N39:R39"/>
    <mergeCell ref="S39:U39"/>
    <mergeCell ref="A52:U52"/>
    <mergeCell ref="A53:U53"/>
    <mergeCell ref="A54:U54"/>
  </mergeCells>
  <conditionalFormatting sqref="T41:T50">
    <cfRule type="expression" priority="2" aboveAverage="0" equalAverage="0" bottom="0" percent="0" rank="0" text="" dxfId="0">
      <formula>$T41="CRITICAL"</formula>
    </cfRule>
    <cfRule type="expression" priority="3" aboveAverage="0" equalAverage="0" bottom="0" percent="0" rank="0" text="" dxfId="1">
      <formula>$T41="HIGH"</formula>
    </cfRule>
    <cfRule type="expression" priority="4" aboveAverage="0" equalAverage="0" bottom="0" percent="0" rank="0" text="" dxfId="2">
      <formula>$T41="MEDIUM"</formula>
    </cfRule>
    <cfRule type="expression" priority="5" aboveAverage="0" equalAverage="0" bottom="0" percent="0" rank="0" text="" dxfId="3">
      <formula>$T41="LOW"</formula>
    </cfRule>
    <cfRule type="expression" priority="6" aboveAverage="0" equalAverage="0" bottom="0" percent="0" rank="0" text="" dxfId="4">
      <formula>$T41="NORMAL"</formula>
    </cfRule>
    <cfRule type="expression" priority="7" aboveAverage="0" equalAverage="0" bottom="0" percent="0" rank="0" text="" dxfId="5">
      <formula>$T41="STALE"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5" min="3" style="0" width="16"/>
    <col collapsed="false" customWidth="true" hidden="false" outlineLevel="0" max="6" min="6" style="0" width="18"/>
    <col collapsed="false" customWidth="true" hidden="false" outlineLevel="0" max="8" min="7" style="0" width="16"/>
    <col collapsed="false" customWidth="true" hidden="false" outlineLevel="0" max="9" min="9" style="0" width="50"/>
  </cols>
  <sheetData>
    <row r="1" customFormat="false" ht="24" hidden="false" customHeight="true" outlineLevel="0" collapsed="false">
      <c r="A1" s="1" t="s">
        <v>150</v>
      </c>
    </row>
    <row r="2" customFormat="false" ht="30" hidden="false" customHeight="true" outlineLevel="0" collapsed="false">
      <c r="A2" s="2" t="s">
        <v>151</v>
      </c>
      <c r="B2" s="2"/>
      <c r="C2" s="2"/>
      <c r="D2" s="2"/>
      <c r="E2" s="2"/>
      <c r="F2" s="2"/>
      <c r="G2" s="2"/>
      <c r="H2" s="2"/>
      <c r="I2" s="2"/>
    </row>
    <row r="4" customFormat="false" ht="19.5" hidden="false" customHeight="true" outlineLevel="0" collapsed="false">
      <c r="A4" s="3" t="s">
        <v>152</v>
      </c>
      <c r="B4" s="3"/>
      <c r="C4" s="3"/>
      <c r="D4" s="3"/>
      <c r="E4" s="3"/>
      <c r="F4" s="3"/>
      <c r="G4" s="3"/>
      <c r="H4" s="3"/>
      <c r="I4" s="3"/>
    </row>
    <row r="5" customFormat="false" ht="31.5" hidden="false" customHeight="true" outlineLevel="0" collapsed="false">
      <c r="A5" s="4" t="s">
        <v>153</v>
      </c>
      <c r="B5" s="4" t="s">
        <v>154</v>
      </c>
      <c r="C5" s="4" t="s">
        <v>155</v>
      </c>
      <c r="D5" s="4" t="s">
        <v>156</v>
      </c>
      <c r="E5" s="4"/>
      <c r="F5" s="4"/>
      <c r="G5" s="4" t="s">
        <v>157</v>
      </c>
      <c r="H5" s="4"/>
      <c r="I5" s="4"/>
    </row>
    <row r="6" customFormat="false" ht="27.75" hidden="false" customHeight="true" outlineLevel="0" collapsed="false">
      <c r="A6" s="9" t="s">
        <v>158</v>
      </c>
      <c r="B6" s="20" t="s">
        <v>159</v>
      </c>
      <c r="C6" s="22" t="s">
        <v>160</v>
      </c>
      <c r="D6" s="42" t="s">
        <v>161</v>
      </c>
      <c r="E6" s="28"/>
      <c r="F6" s="28"/>
      <c r="G6" s="6" t="s">
        <v>162</v>
      </c>
      <c r="H6" s="6"/>
      <c r="I6" s="6"/>
    </row>
    <row r="7" customFormat="false" ht="27.75" hidden="false" customHeight="true" outlineLevel="0" collapsed="false">
      <c r="A7" s="9" t="s">
        <v>163</v>
      </c>
      <c r="B7" s="20" t="s">
        <v>164</v>
      </c>
      <c r="C7" s="22" t="s">
        <v>165</v>
      </c>
      <c r="D7" s="42" t="s">
        <v>166</v>
      </c>
      <c r="E7" s="28"/>
      <c r="F7" s="28"/>
      <c r="G7" s="6" t="s">
        <v>167</v>
      </c>
      <c r="H7" s="6"/>
      <c r="I7" s="6"/>
    </row>
    <row r="8" customFormat="false" ht="27.75" hidden="false" customHeight="true" outlineLevel="0" collapsed="false">
      <c r="A8" s="9" t="s">
        <v>168</v>
      </c>
      <c r="B8" s="20" t="s">
        <v>169</v>
      </c>
      <c r="C8" s="22" t="s">
        <v>165</v>
      </c>
      <c r="D8" s="42" t="s">
        <v>166</v>
      </c>
      <c r="E8" s="28"/>
      <c r="F8" s="28"/>
      <c r="G8" s="6" t="s">
        <v>170</v>
      </c>
      <c r="H8" s="6"/>
      <c r="I8" s="6"/>
    </row>
    <row r="9" customFormat="false" ht="27.75" hidden="false" customHeight="true" outlineLevel="0" collapsed="false">
      <c r="A9" s="9" t="s">
        <v>171</v>
      </c>
      <c r="B9" s="20" t="s">
        <v>172</v>
      </c>
      <c r="C9" s="22" t="s">
        <v>173</v>
      </c>
      <c r="D9" s="42" t="s">
        <v>166</v>
      </c>
      <c r="E9" s="28"/>
      <c r="F9" s="28"/>
      <c r="G9" s="6" t="s">
        <v>174</v>
      </c>
      <c r="H9" s="6"/>
      <c r="I9" s="6"/>
    </row>
    <row r="10" customFormat="false" ht="27.75" hidden="false" customHeight="true" outlineLevel="0" collapsed="false">
      <c r="A10" s="9" t="s">
        <v>175</v>
      </c>
      <c r="B10" s="20" t="s">
        <v>176</v>
      </c>
      <c r="C10" s="22" t="s">
        <v>173</v>
      </c>
      <c r="D10" s="42" t="s">
        <v>166</v>
      </c>
      <c r="E10" s="28"/>
      <c r="F10" s="28"/>
      <c r="G10" s="6" t="s">
        <v>139</v>
      </c>
      <c r="H10" s="6"/>
      <c r="I10" s="6"/>
    </row>
    <row r="12" customFormat="false" ht="15" hidden="false" customHeight="false" outlineLevel="0" collapsed="false">
      <c r="A12" s="25" t="s">
        <v>177</v>
      </c>
      <c r="B12" s="43" t="s">
        <v>158</v>
      </c>
    </row>
    <row r="13" customFormat="false" ht="15" hidden="false" customHeight="false" outlineLevel="0" collapsed="false">
      <c r="A13" s="25" t="s">
        <v>178</v>
      </c>
      <c r="B13" s="44" t="str">
        <f aca="false">INDEX($D$6:$D$10,MATCH($B$12,$A$6:$A$10,0))</f>
        <v>YES</v>
      </c>
    </row>
    <row r="15" customFormat="false" ht="19.5" hidden="false" customHeight="true" outlineLevel="0" collapsed="false">
      <c r="A15" s="3" t="s">
        <v>179</v>
      </c>
      <c r="B15" s="3"/>
      <c r="C15" s="3"/>
      <c r="D15" s="3"/>
      <c r="E15" s="3"/>
      <c r="F15" s="3"/>
      <c r="G15" s="3"/>
      <c r="H15" s="3"/>
      <c r="I15" s="3"/>
    </row>
    <row r="16" customFormat="false" ht="43.5" hidden="false" customHeight="true" outlineLevel="0" collapsed="false">
      <c r="A16" s="4" t="s">
        <v>180</v>
      </c>
      <c r="B16" s="4" t="s">
        <v>72</v>
      </c>
      <c r="C16" s="4" t="s">
        <v>120</v>
      </c>
      <c r="D16" s="4" t="s">
        <v>119</v>
      </c>
      <c r="E16" s="4" t="s">
        <v>163</v>
      </c>
      <c r="F16" s="4" t="s">
        <v>168</v>
      </c>
      <c r="G16" s="4" t="s">
        <v>181</v>
      </c>
      <c r="H16" s="4" t="s">
        <v>182</v>
      </c>
      <c r="I16" s="4" t="s">
        <v>72</v>
      </c>
    </row>
    <row r="17" customFormat="false" ht="15" hidden="false" customHeight="false" outlineLevel="0" collapsed="false">
      <c r="A17" s="25" t="s">
        <v>183</v>
      </c>
      <c r="B17" s="10" t="s">
        <v>184</v>
      </c>
      <c r="C17" s="45" t="n">
        <v>9</v>
      </c>
      <c r="D17" s="45" t="n">
        <v>0</v>
      </c>
      <c r="E17" s="45" t="n">
        <v>7</v>
      </c>
      <c r="F17" s="45" t="n">
        <v>2</v>
      </c>
      <c r="G17" s="46" t="n">
        <f aca="false">IF(C17&lt;=0,"n/a",D17/C17)</f>
        <v>0</v>
      </c>
      <c r="H17" s="47" t="n">
        <f aca="false">IF(C17&lt;=0,1,MAX(0,MIN(1,1-D17/C17)))</f>
        <v>1</v>
      </c>
      <c r="I17" s="37" t="s">
        <v>185</v>
      </c>
    </row>
    <row r="18" customFormat="false" ht="15" hidden="false" customHeight="false" outlineLevel="0" collapsed="false">
      <c r="A18" s="25" t="s">
        <v>186</v>
      </c>
      <c r="B18" s="10" t="s">
        <v>187</v>
      </c>
      <c r="C18" s="45" t="n">
        <v>14</v>
      </c>
      <c r="D18" s="45" t="n">
        <v>1</v>
      </c>
      <c r="E18" s="45" t="n">
        <v>11</v>
      </c>
      <c r="F18" s="45" t="n">
        <v>2</v>
      </c>
      <c r="G18" s="46" t="n">
        <f aca="false">IF(C18&lt;=0,"n/a",D18/C18)</f>
        <v>0.0714285714285714</v>
      </c>
      <c r="H18" s="47" t="n">
        <f aca="false">IF(C18&lt;=0,1,MAX(0,MIN(1,1-D18/C18)))</f>
        <v>0.928571428571429</v>
      </c>
      <c r="I18" s="37"/>
    </row>
    <row r="19" customFormat="false" ht="15" hidden="false" customHeight="false" outlineLevel="0" collapsed="false">
      <c r="A19" s="25" t="s">
        <v>188</v>
      </c>
      <c r="B19" s="10" t="s">
        <v>189</v>
      </c>
      <c r="C19" s="45" t="n">
        <v>8</v>
      </c>
      <c r="D19" s="45" t="n">
        <v>4</v>
      </c>
      <c r="E19" s="45" t="n">
        <v>3</v>
      </c>
      <c r="F19" s="45" t="n">
        <v>1</v>
      </c>
      <c r="G19" s="46" t="n">
        <f aca="false">IF(C19&lt;=0,"n/a",D19/C19)</f>
        <v>0.5</v>
      </c>
      <c r="H19" s="47" t="n">
        <f aca="false">IF(C19&lt;=0,1,MAX(0,MIN(1,1-D19/C19)))</f>
        <v>0.5</v>
      </c>
      <c r="I19" s="37"/>
    </row>
    <row r="20" customFormat="false" ht="15" hidden="false" customHeight="false" outlineLevel="0" collapsed="false">
      <c r="A20" s="25" t="s">
        <v>190</v>
      </c>
      <c r="B20" s="10" t="s">
        <v>191</v>
      </c>
      <c r="C20" s="45" t="n">
        <v>10</v>
      </c>
      <c r="D20" s="45" t="n">
        <v>8</v>
      </c>
      <c r="E20" s="45" t="n">
        <v>2</v>
      </c>
      <c r="F20" s="45" t="n">
        <v>0</v>
      </c>
      <c r="G20" s="46" t="n">
        <f aca="false">IF(C20&lt;=0,"n/a",D20/C20)</f>
        <v>0.8</v>
      </c>
      <c r="H20" s="47" t="n">
        <f aca="false">IF(C20&lt;=0,1,MAX(0,MIN(1,1-D20/C20)))</f>
        <v>0.2</v>
      </c>
      <c r="I20" s="37"/>
    </row>
    <row r="21" customFormat="false" ht="15" hidden="false" customHeight="false" outlineLevel="0" collapsed="false">
      <c r="A21" s="25" t="s">
        <v>192</v>
      </c>
      <c r="B21" s="10" t="s">
        <v>193</v>
      </c>
      <c r="C21" s="45" t="n">
        <v>0</v>
      </c>
      <c r="D21" s="45" t="n">
        <v>0</v>
      </c>
      <c r="E21" s="45" t="n">
        <v>0</v>
      </c>
      <c r="F21" s="45" t="n">
        <v>0</v>
      </c>
      <c r="G21" s="46" t="str">
        <f aca="false">IF(C21&lt;=0,"n/a",D21/C21)</f>
        <v>n/a</v>
      </c>
      <c r="H21" s="47" t="n">
        <f aca="false">IF(C21&lt;=0,1,MAX(0,MIN(1,1-D21/C21)))</f>
        <v>1</v>
      </c>
      <c r="I21" s="37"/>
    </row>
    <row r="22" customFormat="false" ht="28.5" hidden="false" customHeight="true" outlineLevel="0" collapsed="false">
      <c r="A22" s="29" t="s">
        <v>194</v>
      </c>
      <c r="B22" s="29"/>
      <c r="C22" s="29"/>
      <c r="D22" s="29"/>
      <c r="E22" s="29"/>
      <c r="F22" s="29"/>
      <c r="G22" s="29"/>
      <c r="H22" s="29"/>
      <c r="I22" s="29"/>
    </row>
    <row r="24" customFormat="false" ht="19.5" hidden="false" customHeight="true" outlineLevel="0" collapsed="false">
      <c r="A24" s="3" t="s">
        <v>195</v>
      </c>
      <c r="B24" s="3"/>
      <c r="C24" s="3"/>
      <c r="D24" s="3"/>
      <c r="E24" s="3"/>
      <c r="F24" s="3"/>
      <c r="G24" s="3"/>
      <c r="H24" s="3"/>
      <c r="I24" s="3"/>
    </row>
    <row r="25" customFormat="false" ht="28.5" hidden="false" customHeight="true" outlineLevel="0" collapsed="false">
      <c r="A25" s="29" t="s">
        <v>196</v>
      </c>
      <c r="B25" s="29"/>
      <c r="C25" s="29"/>
      <c r="D25" s="29"/>
      <c r="E25" s="29"/>
      <c r="F25" s="29"/>
      <c r="G25" s="29"/>
      <c r="H25" s="29"/>
      <c r="I25" s="29"/>
    </row>
    <row r="26" customFormat="false" ht="31.5" hidden="false" customHeight="true" outlineLevel="0" collapsed="false">
      <c r="A26" s="4" t="s">
        <v>197</v>
      </c>
      <c r="B26" s="4" t="s">
        <v>198</v>
      </c>
      <c r="C26" s="4" t="s">
        <v>199</v>
      </c>
      <c r="D26" s="4" t="s">
        <v>200</v>
      </c>
      <c r="E26" s="4" t="s">
        <v>201</v>
      </c>
      <c r="F26" s="4" t="s">
        <v>202</v>
      </c>
      <c r="G26" s="4" t="s">
        <v>203</v>
      </c>
      <c r="H26" s="4"/>
      <c r="I26" s="4"/>
    </row>
    <row r="27" customFormat="false" ht="15" hidden="false" customHeight="false" outlineLevel="0" collapsed="false">
      <c r="A27" s="25" t="s">
        <v>204</v>
      </c>
      <c r="B27" s="10" t="s">
        <v>205</v>
      </c>
      <c r="C27" s="45" t="n">
        <v>1</v>
      </c>
      <c r="D27" s="45" t="n">
        <v>0</v>
      </c>
      <c r="E27" s="45" t="n">
        <v>0</v>
      </c>
      <c r="F27" s="45" t="n">
        <v>0</v>
      </c>
      <c r="G27" s="44" t="str">
        <f aca="false">IF(SUM(C27:F27)&gt;0,"Yes","No")</f>
        <v>Yes</v>
      </c>
    </row>
    <row r="28" customFormat="false" ht="15" hidden="false" customHeight="false" outlineLevel="0" collapsed="false">
      <c r="A28" s="25" t="s">
        <v>206</v>
      </c>
      <c r="B28" s="10" t="s">
        <v>205</v>
      </c>
      <c r="C28" s="45" t="n">
        <v>1</v>
      </c>
      <c r="D28" s="45" t="n">
        <v>0</v>
      </c>
      <c r="E28" s="45" t="n">
        <v>0</v>
      </c>
      <c r="F28" s="45" t="n">
        <v>0</v>
      </c>
      <c r="G28" s="44" t="str">
        <f aca="false">IF(SUM(C28:F28)&gt;0,"Yes","No")</f>
        <v>Yes</v>
      </c>
    </row>
    <row r="29" customFormat="false" ht="15" hidden="false" customHeight="false" outlineLevel="0" collapsed="false">
      <c r="A29" s="25" t="s">
        <v>207</v>
      </c>
      <c r="B29" s="10" t="s">
        <v>205</v>
      </c>
      <c r="C29" s="45" t="n">
        <v>1</v>
      </c>
      <c r="D29" s="45" t="n">
        <v>0</v>
      </c>
      <c r="E29" s="45" t="n">
        <v>0</v>
      </c>
      <c r="F29" s="45" t="n">
        <v>0</v>
      </c>
      <c r="G29" s="44" t="str">
        <f aca="false">IF(SUM(C29:F29)&gt;0,"Yes","No")</f>
        <v>Yes</v>
      </c>
    </row>
    <row r="30" customFormat="false" ht="15" hidden="false" customHeight="false" outlineLevel="0" collapsed="false">
      <c r="A30" s="25" t="s">
        <v>208</v>
      </c>
      <c r="B30" s="10" t="s">
        <v>205</v>
      </c>
      <c r="C30" s="45" t="n">
        <v>1</v>
      </c>
      <c r="D30" s="45" t="n">
        <v>0</v>
      </c>
      <c r="E30" s="45" t="n">
        <v>0</v>
      </c>
      <c r="F30" s="45" t="n">
        <v>0</v>
      </c>
      <c r="G30" s="44" t="str">
        <f aca="false">IF(SUM(C30:F30)&gt;0,"Yes","No")</f>
        <v>Yes</v>
      </c>
    </row>
    <row r="31" customFormat="false" ht="15" hidden="false" customHeight="false" outlineLevel="0" collapsed="false">
      <c r="A31" s="25" t="s">
        <v>209</v>
      </c>
      <c r="B31" s="10" t="s">
        <v>205</v>
      </c>
      <c r="C31" s="45" t="n">
        <v>0</v>
      </c>
      <c r="D31" s="45" t="n">
        <v>0</v>
      </c>
      <c r="E31" s="45" t="n">
        <v>0</v>
      </c>
      <c r="F31" s="45" t="n">
        <v>0</v>
      </c>
      <c r="G31" s="44" t="str">
        <f aca="false">IF(SUM(C31:F31)&gt;0,"Yes","No")</f>
        <v>No</v>
      </c>
    </row>
    <row r="32" customFormat="false" ht="15" hidden="false" customHeight="false" outlineLevel="0" collapsed="false">
      <c r="A32" s="25" t="s">
        <v>210</v>
      </c>
      <c r="B32" s="10" t="s">
        <v>211</v>
      </c>
      <c r="C32" s="45" t="n">
        <v>0</v>
      </c>
      <c r="D32" s="45" t="n">
        <v>0</v>
      </c>
      <c r="E32" s="45" t="n">
        <v>0</v>
      </c>
      <c r="F32" s="45" t="n">
        <v>0</v>
      </c>
      <c r="G32" s="44" t="str">
        <f aca="false">IF(SUM(C32:F32)&gt;0,"Yes","No")</f>
        <v>No</v>
      </c>
    </row>
    <row r="33" customFormat="false" ht="15" hidden="false" customHeight="false" outlineLevel="0" collapsed="false">
      <c r="A33" s="25" t="s">
        <v>212</v>
      </c>
      <c r="B33" s="10" t="s">
        <v>213</v>
      </c>
      <c r="C33" s="45" t="n">
        <v>0</v>
      </c>
      <c r="D33" s="45" t="n">
        <v>1</v>
      </c>
      <c r="E33" s="45" t="n">
        <v>0</v>
      </c>
      <c r="F33" s="45" t="n">
        <v>0</v>
      </c>
      <c r="G33" s="44" t="str">
        <f aca="false">IF(SUM(C33:F33)&gt;0,"Yes","No")</f>
        <v>Yes</v>
      </c>
    </row>
    <row r="34" customFormat="false" ht="15" hidden="false" customHeight="false" outlineLevel="0" collapsed="false">
      <c r="A34" s="25" t="s">
        <v>214</v>
      </c>
      <c r="B34" s="10" t="s">
        <v>215</v>
      </c>
      <c r="C34" s="45" t="n">
        <v>0</v>
      </c>
      <c r="D34" s="45" t="n">
        <v>0</v>
      </c>
      <c r="E34" s="45" t="n">
        <v>0</v>
      </c>
      <c r="F34" s="45" t="n">
        <v>0</v>
      </c>
      <c r="G34" s="44" t="str">
        <f aca="false">IF(SUM(C34:F34)&gt;0,"Yes","No")</f>
        <v>No</v>
      </c>
    </row>
    <row r="35" customFormat="false" ht="15" hidden="false" customHeight="false" outlineLevel="0" collapsed="false">
      <c r="A35" s="25" t="s">
        <v>216</v>
      </c>
      <c r="G35" s="27" t="n">
        <f aca="false">COUNTIF(G27:G34,"Yes")</f>
        <v>5</v>
      </c>
    </row>
    <row r="36" customFormat="false" ht="28.5" hidden="false" customHeight="true" outlineLevel="0" collapsed="false">
      <c r="A36" s="29" t="s">
        <v>217</v>
      </c>
      <c r="B36" s="29"/>
      <c r="C36" s="29"/>
      <c r="D36" s="29"/>
      <c r="E36" s="29"/>
      <c r="F36" s="29"/>
      <c r="G36" s="29"/>
      <c r="H36" s="29"/>
      <c r="I36" s="29"/>
    </row>
  </sheetData>
  <mergeCells count="13">
    <mergeCell ref="A2:I2"/>
    <mergeCell ref="A4:I4"/>
    <mergeCell ref="G5:I5"/>
    <mergeCell ref="G6:I6"/>
    <mergeCell ref="G7:I7"/>
    <mergeCell ref="G8:I8"/>
    <mergeCell ref="G9:I9"/>
    <mergeCell ref="G10:I10"/>
    <mergeCell ref="A15:I15"/>
    <mergeCell ref="A22:I22"/>
    <mergeCell ref="A24:I24"/>
    <mergeCell ref="A25:I25"/>
    <mergeCell ref="A36:I36"/>
  </mergeCells>
  <dataValidations count="2">
    <dataValidation allowBlank="false" errorStyle="stop" operator="between" showDropDown="false" showErrorMessage="false" showInputMessage="false" sqref="B12" type="list">
      <formula1>$A$6:$A$10</formula1>
      <formula2>0</formula2>
    </dataValidation>
    <dataValidation allowBlank="false" errorStyle="stop" operator="between" showDropDown="false" showErrorMessage="false" showInputMessage="false" sqref="C27:F34"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D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6"/>
    <col collapsed="false" customWidth="true" hidden="false" outlineLevel="0" max="3" min="3" style="0" width="20"/>
    <col collapsed="false" customWidth="true" hidden="false" outlineLevel="0" max="4" min="4" style="0" width="60"/>
  </cols>
  <sheetData>
    <row r="1" customFormat="false" ht="24" hidden="false" customHeight="true" outlineLevel="0" collapsed="false">
      <c r="A1" s="1" t="s">
        <v>218</v>
      </c>
    </row>
    <row r="2" customFormat="false" ht="30" hidden="false" customHeight="true" outlineLevel="0" collapsed="false">
      <c r="A2" s="2" t="s">
        <v>219</v>
      </c>
      <c r="B2" s="2"/>
      <c r="C2" s="2"/>
      <c r="D2" s="2"/>
    </row>
    <row r="4" customFormat="false" ht="19.5" hidden="false" customHeight="true" outlineLevel="0" collapsed="false">
      <c r="A4" s="3" t="s">
        <v>220</v>
      </c>
      <c r="B4" s="3"/>
      <c r="C4" s="3"/>
      <c r="D4" s="3"/>
    </row>
    <row r="5" customFormat="false" ht="19.5" hidden="false" customHeight="true" outlineLevel="0" collapsed="false">
      <c r="A5" s="4" t="s">
        <v>221</v>
      </c>
      <c r="B5" s="4" t="s">
        <v>222</v>
      </c>
      <c r="C5" s="4" t="s">
        <v>223</v>
      </c>
      <c r="D5" s="4"/>
    </row>
    <row r="6" customFormat="false" ht="15" hidden="false" customHeight="false" outlineLevel="0" collapsed="false">
      <c r="A6" s="28" t="s">
        <v>224</v>
      </c>
      <c r="B6" s="28" t="s">
        <v>225</v>
      </c>
      <c r="C6" s="21" t="n">
        <v>50</v>
      </c>
    </row>
    <row r="7" customFormat="false" ht="15" hidden="false" customHeight="false" outlineLevel="0" collapsed="false">
      <c r="A7" s="28" t="s">
        <v>226</v>
      </c>
      <c r="B7" s="28" t="s">
        <v>225</v>
      </c>
      <c r="C7" s="21" t="n">
        <v>40</v>
      </c>
    </row>
    <row r="8" customFormat="false" ht="15" hidden="false" customHeight="false" outlineLevel="0" collapsed="false">
      <c r="A8" s="28" t="s">
        <v>227</v>
      </c>
      <c r="B8" s="28" t="s">
        <v>228</v>
      </c>
      <c r="C8" s="21" t="n">
        <v>13</v>
      </c>
    </row>
    <row r="9" customFormat="false" ht="15" hidden="false" customHeight="false" outlineLevel="0" collapsed="false">
      <c r="A9" s="28" t="s">
        <v>229</v>
      </c>
      <c r="B9" s="28" t="s">
        <v>228</v>
      </c>
      <c r="C9" s="21" t="n">
        <v>10</v>
      </c>
    </row>
    <row r="10" customFormat="false" ht="15" hidden="false" customHeight="false" outlineLevel="0" collapsed="false">
      <c r="A10" s="28" t="s">
        <v>230</v>
      </c>
      <c r="B10" s="28" t="s">
        <v>228</v>
      </c>
      <c r="C10" s="21" t="n">
        <v>0</v>
      </c>
    </row>
    <row r="11" customFormat="false" ht="39.75" hidden="false" customHeight="true" outlineLevel="0" collapsed="false">
      <c r="A11" s="25" t="s">
        <v>231</v>
      </c>
      <c r="B11" s="6" t="s">
        <v>232</v>
      </c>
      <c r="C11" s="48" t="n">
        <v>40</v>
      </c>
    </row>
    <row r="13" customFormat="false" ht="19.5" hidden="false" customHeight="true" outlineLevel="0" collapsed="false">
      <c r="A13" s="3" t="s">
        <v>233</v>
      </c>
      <c r="B13" s="3"/>
      <c r="C13" s="3"/>
      <c r="D13" s="3"/>
    </row>
    <row r="14" customFormat="false" ht="15" hidden="false" customHeight="false" outlineLevel="0" collapsed="false">
      <c r="A14" s="30" t="s">
        <v>234</v>
      </c>
      <c r="B14" s="31"/>
      <c r="C14" s="49" t="n">
        <v>0.5</v>
      </c>
    </row>
    <row r="15" customFormat="false" ht="31.5" hidden="false" customHeight="true" outlineLevel="0" collapsed="false">
      <c r="A15" s="4" t="s">
        <v>235</v>
      </c>
      <c r="B15" s="4"/>
      <c r="C15" s="4" t="s">
        <v>236</v>
      </c>
      <c r="D15" s="4" t="s">
        <v>237</v>
      </c>
    </row>
    <row r="16" customFormat="false" ht="15" hidden="false" customHeight="false" outlineLevel="0" collapsed="false">
      <c r="A16" s="28" t="s">
        <v>238</v>
      </c>
      <c r="B16" s="28"/>
      <c r="C16" s="21" t="n">
        <v>5</v>
      </c>
      <c r="D16" s="50" t="n">
        <f aca="false">C16*$C$14</f>
        <v>2.5</v>
      </c>
    </row>
    <row r="17" customFormat="false" ht="15" hidden="false" customHeight="false" outlineLevel="0" collapsed="false">
      <c r="A17" s="28" t="s">
        <v>239</v>
      </c>
      <c r="B17" s="28"/>
      <c r="C17" s="21" t="n">
        <v>4</v>
      </c>
      <c r="D17" s="50" t="n">
        <f aca="false">C17*$C$14</f>
        <v>2</v>
      </c>
    </row>
    <row r="18" customFormat="false" ht="15" hidden="false" customHeight="false" outlineLevel="0" collapsed="false">
      <c r="A18" s="28" t="s">
        <v>240</v>
      </c>
      <c r="B18" s="28"/>
      <c r="C18" s="21" t="n">
        <v>3</v>
      </c>
      <c r="D18" s="50" t="n">
        <f aca="false">C18*$C$14</f>
        <v>1.5</v>
      </c>
    </row>
    <row r="19" customFormat="false" ht="15" hidden="false" customHeight="false" outlineLevel="0" collapsed="false">
      <c r="A19" s="28" t="s">
        <v>241</v>
      </c>
      <c r="B19" s="28"/>
      <c r="C19" s="21" t="n">
        <v>2</v>
      </c>
      <c r="D19" s="50" t="n">
        <f aca="false">C19*$C$14</f>
        <v>1</v>
      </c>
    </row>
    <row r="20" customFormat="false" ht="15" hidden="false" customHeight="false" outlineLevel="0" collapsed="false">
      <c r="A20" s="28" t="s">
        <v>242</v>
      </c>
      <c r="B20" s="28"/>
      <c r="C20" s="21" t="n">
        <v>1</v>
      </c>
      <c r="D20" s="50" t="n">
        <f aca="false">C20*$C$14</f>
        <v>0.5</v>
      </c>
    </row>
    <row r="22" customFormat="false" ht="15" hidden="false" customHeight="false" outlineLevel="0" collapsed="false">
      <c r="A22" s="30" t="s">
        <v>243</v>
      </c>
      <c r="B22" s="31"/>
      <c r="C22" s="49" t="n">
        <v>0.3</v>
      </c>
    </row>
    <row r="23" customFormat="false" ht="31.5" hidden="false" customHeight="true" outlineLevel="0" collapsed="false">
      <c r="A23" s="4" t="s">
        <v>235</v>
      </c>
      <c r="B23" s="4"/>
      <c r="C23" s="4" t="s">
        <v>236</v>
      </c>
      <c r="D23" s="4" t="s">
        <v>237</v>
      </c>
    </row>
    <row r="24" customFormat="false" ht="15" hidden="false" customHeight="false" outlineLevel="0" collapsed="false">
      <c r="A24" s="28" t="s">
        <v>244</v>
      </c>
      <c r="B24" s="28"/>
      <c r="C24" s="21" t="n">
        <v>5</v>
      </c>
      <c r="D24" s="50" t="n">
        <f aca="false">C24*$C$22</f>
        <v>1.5</v>
      </c>
    </row>
    <row r="25" customFormat="false" ht="15" hidden="false" customHeight="false" outlineLevel="0" collapsed="false">
      <c r="A25" s="28" t="s">
        <v>245</v>
      </c>
      <c r="B25" s="28"/>
      <c r="C25" s="21" t="n">
        <v>4</v>
      </c>
      <c r="D25" s="50" t="n">
        <f aca="false">C25*$C$22</f>
        <v>1.2</v>
      </c>
    </row>
    <row r="26" customFormat="false" ht="15" hidden="false" customHeight="false" outlineLevel="0" collapsed="false">
      <c r="A26" s="28" t="s">
        <v>246</v>
      </c>
      <c r="B26" s="28"/>
      <c r="C26" s="21" t="n">
        <v>3</v>
      </c>
      <c r="D26" s="50" t="n">
        <f aca="false">C26*$C$22</f>
        <v>0.9</v>
      </c>
    </row>
    <row r="27" customFormat="false" ht="15" hidden="false" customHeight="false" outlineLevel="0" collapsed="false">
      <c r="A27" s="28" t="s">
        <v>247</v>
      </c>
      <c r="B27" s="28"/>
      <c r="C27" s="21" t="n">
        <v>2</v>
      </c>
      <c r="D27" s="50" t="n">
        <f aca="false">C27*$C$22</f>
        <v>0.6</v>
      </c>
    </row>
    <row r="28" customFormat="false" ht="15" hidden="false" customHeight="false" outlineLevel="0" collapsed="false">
      <c r="A28" s="28" t="s">
        <v>248</v>
      </c>
      <c r="B28" s="28"/>
      <c r="C28" s="21" t="n">
        <v>1</v>
      </c>
      <c r="D28" s="50" t="n">
        <f aca="false">C28*$C$22</f>
        <v>0.3</v>
      </c>
    </row>
    <row r="30" customFormat="false" ht="15" hidden="false" customHeight="false" outlineLevel="0" collapsed="false">
      <c r="A30" s="30" t="s">
        <v>249</v>
      </c>
      <c r="B30" s="31"/>
      <c r="C30" s="49" t="n">
        <v>0.2</v>
      </c>
    </row>
    <row r="31" customFormat="false" ht="31.5" hidden="false" customHeight="true" outlineLevel="0" collapsed="false">
      <c r="A31" s="4" t="s">
        <v>235</v>
      </c>
      <c r="B31" s="4"/>
      <c r="C31" s="4" t="s">
        <v>236</v>
      </c>
      <c r="D31" s="4" t="s">
        <v>237</v>
      </c>
    </row>
    <row r="32" customFormat="false" ht="15" hidden="false" customHeight="false" outlineLevel="0" collapsed="false">
      <c r="A32" s="28" t="s">
        <v>250</v>
      </c>
      <c r="B32" s="28"/>
      <c r="C32" s="21" t="n">
        <v>5</v>
      </c>
      <c r="D32" s="50" t="n">
        <f aca="false">C32*$C$30</f>
        <v>1</v>
      </c>
    </row>
    <row r="33" customFormat="false" ht="15" hidden="false" customHeight="false" outlineLevel="0" collapsed="false">
      <c r="A33" s="28" t="s">
        <v>251</v>
      </c>
      <c r="B33" s="28"/>
      <c r="C33" s="21" t="n">
        <v>4</v>
      </c>
      <c r="D33" s="50" t="n">
        <f aca="false">C33*$C$30</f>
        <v>0.8</v>
      </c>
    </row>
    <row r="34" customFormat="false" ht="15" hidden="false" customHeight="false" outlineLevel="0" collapsed="false">
      <c r="A34" s="28" t="s">
        <v>252</v>
      </c>
      <c r="B34" s="28"/>
      <c r="C34" s="21" t="n">
        <v>3</v>
      </c>
      <c r="D34" s="50" t="n">
        <f aca="false">C34*$C$30</f>
        <v>0.6</v>
      </c>
    </row>
    <row r="35" customFormat="false" ht="15" hidden="false" customHeight="false" outlineLevel="0" collapsed="false">
      <c r="A35" s="28" t="s">
        <v>253</v>
      </c>
      <c r="B35" s="28"/>
      <c r="C35" s="21" t="n">
        <v>2</v>
      </c>
      <c r="D35" s="50" t="n">
        <f aca="false">C35*$C$30</f>
        <v>0.4</v>
      </c>
    </row>
    <row r="36" customFormat="false" ht="15" hidden="false" customHeight="false" outlineLevel="0" collapsed="false">
      <c r="A36" s="28" t="s">
        <v>254</v>
      </c>
      <c r="B36" s="28"/>
      <c r="C36" s="21" t="n">
        <v>1</v>
      </c>
      <c r="D36" s="50" t="n">
        <f aca="false">C36*$C$30</f>
        <v>0.2</v>
      </c>
    </row>
    <row r="38" customFormat="false" ht="15" hidden="false" customHeight="false" outlineLevel="0" collapsed="false">
      <c r="A38" s="25" t="s">
        <v>255</v>
      </c>
      <c r="C38" s="51" t="n">
        <f aca="false">C14+C22+C30</f>
        <v>1</v>
      </c>
      <c r="D38" s="39" t="str">
        <f aca="false">IF(ROUND(C38,4)=1,"OK - totals 100%","CHECK - weights do not total 100%")</f>
        <v>OK - totals 100%</v>
      </c>
    </row>
    <row r="39" customFormat="false" ht="42" hidden="false" customHeight="true" outlineLevel="0" collapsed="false">
      <c r="A39" s="29" t="s">
        <v>256</v>
      </c>
      <c r="B39" s="29"/>
      <c r="C39" s="29"/>
      <c r="D39" s="29"/>
    </row>
    <row r="41" customFormat="false" ht="19.5" hidden="false" customHeight="true" outlineLevel="0" collapsed="false">
      <c r="A41" s="52" t="s">
        <v>257</v>
      </c>
      <c r="B41" s="52"/>
      <c r="C41" s="52"/>
      <c r="D41" s="52"/>
    </row>
    <row r="42" customFormat="false" ht="19.5" hidden="false" customHeight="true" outlineLevel="0" collapsed="false">
      <c r="A42" s="4" t="s">
        <v>235</v>
      </c>
      <c r="B42" s="4" t="s">
        <v>258</v>
      </c>
      <c r="C42" s="4" t="s">
        <v>259</v>
      </c>
      <c r="D42" s="4"/>
    </row>
    <row r="43" customFormat="false" ht="15" hidden="false" customHeight="false" outlineLevel="0" collapsed="false">
      <c r="A43" s="53" t="s">
        <v>260</v>
      </c>
      <c r="B43" s="53" t="s">
        <v>261</v>
      </c>
      <c r="C43" s="54" t="n">
        <v>5</v>
      </c>
    </row>
    <row r="44" customFormat="false" ht="15" hidden="false" customHeight="false" outlineLevel="0" collapsed="false">
      <c r="A44" s="53" t="s">
        <v>262</v>
      </c>
      <c r="B44" s="53" t="s">
        <v>263</v>
      </c>
      <c r="C44" s="54" t="n">
        <v>4</v>
      </c>
    </row>
    <row r="45" customFormat="false" ht="15" hidden="false" customHeight="false" outlineLevel="0" collapsed="false">
      <c r="A45" s="53" t="s">
        <v>264</v>
      </c>
      <c r="B45" s="53" t="s">
        <v>265</v>
      </c>
      <c r="C45" s="54" t="n">
        <v>3</v>
      </c>
    </row>
    <row r="46" customFormat="false" ht="15" hidden="false" customHeight="false" outlineLevel="0" collapsed="false">
      <c r="A46" s="53" t="s">
        <v>266</v>
      </c>
      <c r="B46" s="53" t="s">
        <v>267</v>
      </c>
      <c r="C46" s="54" t="n">
        <v>2</v>
      </c>
    </row>
    <row r="47" customFormat="false" ht="15" hidden="false" customHeight="false" outlineLevel="0" collapsed="false">
      <c r="A47" s="53" t="s">
        <v>268</v>
      </c>
      <c r="B47" s="53" t="s">
        <v>269</v>
      </c>
      <c r="C47" s="54" t="n">
        <v>1</v>
      </c>
    </row>
    <row r="48" customFormat="false" ht="15.75" hidden="false" customHeight="true" outlineLevel="0" collapsed="false">
      <c r="A48" s="29" t="s">
        <v>270</v>
      </c>
      <c r="B48" s="29"/>
      <c r="C48" s="29"/>
      <c r="D48" s="29"/>
    </row>
    <row r="50" customFormat="false" ht="19.5" hidden="false" customHeight="true" outlineLevel="0" collapsed="false">
      <c r="A50" s="52" t="s">
        <v>271</v>
      </c>
      <c r="B50" s="52"/>
      <c r="C50" s="52"/>
      <c r="D50" s="52"/>
    </row>
    <row r="51" customFormat="false" ht="15" hidden="false" customHeight="false" outlineLevel="0" collapsed="false">
      <c r="A51" s="30" t="s">
        <v>272</v>
      </c>
      <c r="B51" s="31"/>
      <c r="C51" s="31"/>
    </row>
    <row r="52" customFormat="false" ht="19.5" hidden="false" customHeight="true" outlineLevel="0" collapsed="false">
      <c r="A52" s="4" t="s">
        <v>273</v>
      </c>
      <c r="B52" s="4" t="s">
        <v>274</v>
      </c>
      <c r="C52" s="4" t="s">
        <v>275</v>
      </c>
      <c r="D52" s="4"/>
    </row>
    <row r="53" customFormat="false" ht="15" hidden="false" customHeight="false" outlineLevel="0" collapsed="false">
      <c r="A53" s="53" t="s">
        <v>276</v>
      </c>
      <c r="B53" s="55" t="s">
        <v>277</v>
      </c>
      <c r="C53" s="45" t="n">
        <v>1</v>
      </c>
    </row>
    <row r="54" customFormat="false" ht="15" hidden="false" customHeight="false" outlineLevel="0" collapsed="false">
      <c r="A54" s="53" t="s">
        <v>278</v>
      </c>
      <c r="B54" s="55" t="s">
        <v>279</v>
      </c>
      <c r="C54" s="45" t="n">
        <v>0.95</v>
      </c>
    </row>
    <row r="55" customFormat="false" ht="15" hidden="false" customHeight="false" outlineLevel="0" collapsed="false">
      <c r="A55" s="53" t="s">
        <v>280</v>
      </c>
      <c r="B55" s="55" t="s">
        <v>281</v>
      </c>
      <c r="C55" s="45" t="n">
        <v>0.85</v>
      </c>
    </row>
    <row r="56" customFormat="false" ht="15" hidden="false" customHeight="false" outlineLevel="0" collapsed="false">
      <c r="A56" s="53" t="s">
        <v>282</v>
      </c>
      <c r="B56" s="55" t="s">
        <v>283</v>
      </c>
      <c r="C56" s="45" t="n">
        <v>0.7</v>
      </c>
    </row>
    <row r="57" customFormat="false" ht="15" hidden="false" customHeight="false" outlineLevel="0" collapsed="false">
      <c r="A57" s="53" t="s">
        <v>284</v>
      </c>
      <c r="B57" s="55" t="s">
        <v>285</v>
      </c>
      <c r="C57" s="45" t="n">
        <v>0.5</v>
      </c>
    </row>
    <row r="59" customFormat="false" ht="15" hidden="false" customHeight="false" outlineLevel="0" collapsed="false">
      <c r="A59" s="30" t="s">
        <v>286</v>
      </c>
      <c r="B59" s="31"/>
      <c r="C59" s="31"/>
    </row>
    <row r="60" customFormat="false" ht="19.5" hidden="false" customHeight="true" outlineLevel="0" collapsed="false">
      <c r="A60" s="4" t="s">
        <v>287</v>
      </c>
      <c r="B60" s="4" t="s">
        <v>274</v>
      </c>
      <c r="C60" s="4" t="s">
        <v>275</v>
      </c>
      <c r="D60" s="4"/>
    </row>
    <row r="61" customFormat="false" ht="15" hidden="false" customHeight="false" outlineLevel="0" collapsed="false">
      <c r="A61" s="53" t="s">
        <v>288</v>
      </c>
      <c r="B61" s="55" t="s">
        <v>289</v>
      </c>
      <c r="C61" s="45" t="n">
        <v>1</v>
      </c>
    </row>
    <row r="62" customFormat="false" ht="15" hidden="false" customHeight="false" outlineLevel="0" collapsed="false">
      <c r="A62" s="53" t="s">
        <v>290</v>
      </c>
      <c r="B62" s="55" t="s">
        <v>279</v>
      </c>
      <c r="C62" s="45" t="n">
        <v>0.95</v>
      </c>
    </row>
    <row r="63" customFormat="false" ht="15" hidden="false" customHeight="false" outlineLevel="0" collapsed="false">
      <c r="A63" s="53" t="s">
        <v>291</v>
      </c>
      <c r="B63" s="55" t="s">
        <v>281</v>
      </c>
      <c r="C63" s="45" t="n">
        <v>0.85</v>
      </c>
    </row>
    <row r="64" customFormat="false" ht="15" hidden="false" customHeight="false" outlineLevel="0" collapsed="false">
      <c r="A64" s="53" t="s">
        <v>292</v>
      </c>
      <c r="B64" s="55" t="s">
        <v>283</v>
      </c>
      <c r="C64" s="45" t="n">
        <v>0.7</v>
      </c>
    </row>
    <row r="65" customFormat="false" ht="15" hidden="false" customHeight="false" outlineLevel="0" collapsed="false">
      <c r="A65" s="53" t="s">
        <v>293</v>
      </c>
      <c r="B65" s="55" t="s">
        <v>285</v>
      </c>
      <c r="C65" s="45" t="n">
        <v>0.5</v>
      </c>
    </row>
    <row r="67" customFormat="false" ht="15" hidden="false" customHeight="false" outlineLevel="0" collapsed="false">
      <c r="A67" s="30" t="s">
        <v>294</v>
      </c>
      <c r="B67" s="31"/>
      <c r="C67" s="31"/>
    </row>
    <row r="68" customFormat="false" ht="19.5" hidden="false" customHeight="true" outlineLevel="0" collapsed="false">
      <c r="A68" s="4" t="s">
        <v>295</v>
      </c>
      <c r="B68" s="4" t="s">
        <v>296</v>
      </c>
      <c r="C68" s="4" t="s">
        <v>275</v>
      </c>
      <c r="D68" s="4"/>
    </row>
    <row r="69" customFormat="false" ht="15" hidden="false" customHeight="false" outlineLevel="0" collapsed="false">
      <c r="A69" s="53" t="s">
        <v>297</v>
      </c>
      <c r="B69" s="55" t="s">
        <v>298</v>
      </c>
      <c r="C69" s="45" t="n">
        <v>0.85</v>
      </c>
    </row>
    <row r="70" customFormat="false" ht="15" hidden="false" customHeight="false" outlineLevel="0" collapsed="false">
      <c r="A70" s="53" t="s">
        <v>299</v>
      </c>
      <c r="B70" s="55" t="s">
        <v>300</v>
      </c>
      <c r="C70" s="45" t="n">
        <v>0.9</v>
      </c>
    </row>
    <row r="71" customFormat="false" ht="15" hidden="false" customHeight="false" outlineLevel="0" collapsed="false">
      <c r="A71" s="53" t="s">
        <v>301</v>
      </c>
      <c r="B71" s="55" t="s">
        <v>302</v>
      </c>
      <c r="C71" s="45" t="n">
        <v>0.95</v>
      </c>
    </row>
    <row r="72" customFormat="false" ht="15" hidden="false" customHeight="false" outlineLevel="0" collapsed="false">
      <c r="A72" s="53" t="s">
        <v>303</v>
      </c>
      <c r="B72" s="55" t="s">
        <v>304</v>
      </c>
      <c r="C72" s="45" t="n">
        <v>1</v>
      </c>
    </row>
    <row r="73" customFormat="false" ht="15" hidden="false" customHeight="false" outlineLevel="0" collapsed="false">
      <c r="A73" s="53" t="s">
        <v>305</v>
      </c>
      <c r="B73" s="55" t="s">
        <v>306</v>
      </c>
      <c r="C73" s="45" t="n">
        <v>0.3</v>
      </c>
    </row>
    <row r="74" customFormat="false" ht="28.5" hidden="false" customHeight="true" outlineLevel="0" collapsed="false">
      <c r="A74" s="29" t="s">
        <v>307</v>
      </c>
      <c r="B74" s="29"/>
      <c r="C74" s="29"/>
      <c r="D74" s="29"/>
    </row>
    <row r="76" customFormat="false" ht="19.5" hidden="false" customHeight="true" outlineLevel="0" collapsed="false">
      <c r="A76" s="3" t="s">
        <v>308</v>
      </c>
      <c r="B76" s="3"/>
      <c r="C76" s="3"/>
      <c r="D76" s="3"/>
    </row>
    <row r="77" customFormat="false" ht="19.5" hidden="false" customHeight="true" outlineLevel="0" collapsed="false">
      <c r="A77" s="4" t="s">
        <v>309</v>
      </c>
      <c r="B77" s="4"/>
      <c r="C77" s="4" t="s">
        <v>310</v>
      </c>
      <c r="D77" s="4" t="s">
        <v>311</v>
      </c>
    </row>
    <row r="78" customFormat="false" ht="15" hidden="false" customHeight="false" outlineLevel="0" collapsed="false">
      <c r="A78" s="28" t="s">
        <v>312</v>
      </c>
      <c r="B78" s="28"/>
      <c r="C78" s="56" t="n">
        <v>0.8</v>
      </c>
      <c r="D78" s="56" t="n">
        <v>0.2</v>
      </c>
    </row>
    <row r="79" customFormat="false" ht="15" hidden="false" customHeight="false" outlineLevel="0" collapsed="false">
      <c r="A79" s="28" t="s">
        <v>313</v>
      </c>
      <c r="B79" s="28"/>
      <c r="C79" s="56" t="n">
        <v>1</v>
      </c>
      <c r="D79" s="56" t="n">
        <v>0</v>
      </c>
    </row>
    <row r="80" customFormat="false" ht="15" hidden="false" customHeight="false" outlineLevel="0" collapsed="false">
      <c r="A80" s="28" t="s">
        <v>314</v>
      </c>
      <c r="B80" s="28"/>
      <c r="C80" s="56" t="s">
        <v>315</v>
      </c>
      <c r="D80" s="56" t="s">
        <v>315</v>
      </c>
    </row>
    <row r="82" customFormat="false" ht="15" hidden="false" customHeight="false" outlineLevel="0" collapsed="false">
      <c r="A82" s="30" t="s">
        <v>316</v>
      </c>
      <c r="B82" s="31"/>
      <c r="C82" s="31"/>
      <c r="D82" s="31"/>
    </row>
    <row r="83" customFormat="false" ht="31.5" hidden="false" customHeight="true" outlineLevel="0" collapsed="false">
      <c r="A83" s="4" t="s">
        <v>317</v>
      </c>
      <c r="B83" s="4"/>
      <c r="C83" s="4" t="s">
        <v>318</v>
      </c>
      <c r="D83" s="4" t="s">
        <v>72</v>
      </c>
    </row>
    <row r="84" customFormat="false" ht="15" hidden="false" customHeight="false" outlineLevel="0" collapsed="false">
      <c r="A84" s="28" t="s">
        <v>319</v>
      </c>
      <c r="B84" s="28"/>
      <c r="C84" s="56" t="n">
        <v>0.2</v>
      </c>
      <c r="D84" s="28" t="s">
        <v>320</v>
      </c>
    </row>
    <row r="85" customFormat="false" ht="15" hidden="false" customHeight="false" outlineLevel="0" collapsed="false">
      <c r="A85" s="28" t="s">
        <v>321</v>
      </c>
      <c r="B85" s="28"/>
      <c r="C85" s="56" t="n">
        <v>0.15</v>
      </c>
      <c r="D85" s="28" t="s">
        <v>322</v>
      </c>
    </row>
    <row r="86" customFormat="false" ht="15" hidden="false" customHeight="false" outlineLevel="0" collapsed="false">
      <c r="A86" s="28" t="s">
        <v>323</v>
      </c>
      <c r="B86" s="28"/>
      <c r="C86" s="56" t="n">
        <v>0.1</v>
      </c>
      <c r="D86" s="28" t="s">
        <v>324</v>
      </c>
    </row>
    <row r="87" customFormat="false" ht="15" hidden="false" customHeight="false" outlineLevel="0" collapsed="false">
      <c r="A87" s="28" t="s">
        <v>325</v>
      </c>
      <c r="B87" s="28"/>
      <c r="C87" s="56" t="n">
        <v>0.05</v>
      </c>
      <c r="D87" s="28" t="s">
        <v>326</v>
      </c>
    </row>
    <row r="88" customFormat="false" ht="15" hidden="false" customHeight="false" outlineLevel="0" collapsed="false">
      <c r="A88" s="28" t="s">
        <v>327</v>
      </c>
      <c r="B88" s="28"/>
      <c r="C88" s="56" t="n">
        <v>0</v>
      </c>
      <c r="D88" s="28" t="s">
        <v>328</v>
      </c>
    </row>
    <row r="90" customFormat="false" ht="15" hidden="false" customHeight="false" outlineLevel="0" collapsed="false">
      <c r="A90" s="30" t="s">
        <v>329</v>
      </c>
      <c r="B90" s="31"/>
      <c r="C90" s="31"/>
      <c r="D90" s="31"/>
    </row>
    <row r="91" customFormat="false" ht="25.5" hidden="false" customHeight="true" outlineLevel="0" collapsed="false">
      <c r="A91" s="28" t="s">
        <v>330</v>
      </c>
      <c r="B91" s="57" t="s">
        <v>331</v>
      </c>
      <c r="C91" s="57"/>
      <c r="D91" s="57"/>
    </row>
    <row r="92" customFormat="false" ht="25.5" hidden="false" customHeight="true" outlineLevel="0" collapsed="false">
      <c r="A92" s="28" t="s">
        <v>332</v>
      </c>
      <c r="B92" s="57" t="s">
        <v>333</v>
      </c>
      <c r="C92" s="57"/>
      <c r="D92" s="57"/>
    </row>
    <row r="93" customFormat="false" ht="25.5" hidden="false" customHeight="true" outlineLevel="0" collapsed="false">
      <c r="A93" s="28" t="s">
        <v>334</v>
      </c>
      <c r="B93" s="57" t="s">
        <v>335</v>
      </c>
      <c r="C93" s="57"/>
      <c r="D93" s="57"/>
    </row>
    <row r="94" customFormat="false" ht="25.5" hidden="false" customHeight="true" outlineLevel="0" collapsed="false">
      <c r="A94" s="28" t="s">
        <v>336</v>
      </c>
      <c r="B94" s="57" t="s">
        <v>337</v>
      </c>
      <c r="C94" s="57"/>
      <c r="D94" s="57"/>
    </row>
    <row r="95" customFormat="false" ht="25.5" hidden="false" customHeight="true" outlineLevel="0" collapsed="false">
      <c r="A95" s="28" t="s">
        <v>338</v>
      </c>
      <c r="B95" s="57" t="s">
        <v>339</v>
      </c>
      <c r="C95" s="57"/>
      <c r="D95" s="57"/>
    </row>
  </sheetData>
  <mergeCells count="14">
    <mergeCell ref="A2:D2"/>
    <mergeCell ref="A4:D4"/>
    <mergeCell ref="A13:D13"/>
    <mergeCell ref="A39:D39"/>
    <mergeCell ref="A41:D41"/>
    <mergeCell ref="A48:D48"/>
    <mergeCell ref="A50:D50"/>
    <mergeCell ref="A74:D74"/>
    <mergeCell ref="A76:D76"/>
    <mergeCell ref="B91:D91"/>
    <mergeCell ref="B92:D92"/>
    <mergeCell ref="B93:D93"/>
    <mergeCell ref="B94:D94"/>
    <mergeCell ref="B95:D9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Q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10" min="7" style="0" width="12"/>
    <col collapsed="false" customWidth="true" hidden="false" outlineLevel="0" max="11" min="11" style="0" width="13"/>
    <col collapsed="false" customWidth="true" hidden="false" outlineLevel="0" max="12" min="12" style="0" width="12"/>
    <col collapsed="false" customWidth="true" hidden="false" outlineLevel="0" max="13" min="13" style="0" width="14"/>
    <col collapsed="false" customWidth="true" hidden="false" outlineLevel="0" max="16" min="14" style="0" width="12"/>
    <col collapsed="false" customWidth="true" hidden="false" outlineLevel="0" max="17" min="17" style="0" width="14"/>
  </cols>
  <sheetData>
    <row r="1" customFormat="false" ht="24" hidden="false" customHeight="true" outlineLevel="0" collapsed="false">
      <c r="A1" s="1" t="s">
        <v>340</v>
      </c>
    </row>
    <row r="2" customFormat="false" ht="30" hidden="false" customHeight="true" outlineLevel="0" collapsed="false">
      <c r="A2" s="2" t="s">
        <v>341</v>
      </c>
      <c r="B2" s="2"/>
      <c r="C2" s="2"/>
      <c r="D2" s="2"/>
      <c r="E2" s="2"/>
      <c r="F2" s="2"/>
      <c r="G2" s="2"/>
      <c r="H2" s="2"/>
      <c r="I2" s="2"/>
      <c r="J2" s="2"/>
      <c r="K2" s="2"/>
      <c r="L2" s="2"/>
      <c r="M2" s="2"/>
      <c r="N2" s="2"/>
      <c r="O2" s="2"/>
      <c r="P2" s="2"/>
      <c r="Q2" s="2"/>
    </row>
    <row r="3" customFormat="false" ht="28.5" hidden="false" customHeight="true" outlineLevel="0" collapsed="false">
      <c r="A3" s="58" t="s">
        <v>342</v>
      </c>
      <c r="B3" s="58"/>
      <c r="C3" s="58"/>
      <c r="D3" s="58"/>
      <c r="E3" s="58"/>
      <c r="F3" s="58"/>
      <c r="G3" s="58"/>
      <c r="H3" s="58"/>
      <c r="I3" s="58"/>
      <c r="J3" s="58"/>
      <c r="K3" s="58"/>
      <c r="L3" s="58"/>
      <c r="M3" s="58"/>
      <c r="N3" s="58"/>
      <c r="O3" s="58"/>
      <c r="P3" s="58"/>
      <c r="Q3" s="58"/>
    </row>
    <row r="5" customFormat="false" ht="19.5" hidden="false" customHeight="true" outlineLevel="0" collapsed="false">
      <c r="A5" s="3" t="s">
        <v>343</v>
      </c>
      <c r="B5" s="3"/>
      <c r="C5" s="3"/>
      <c r="D5" s="3"/>
      <c r="E5" s="3"/>
      <c r="F5" s="3"/>
      <c r="G5" s="3"/>
      <c r="H5" s="3"/>
      <c r="I5" s="3"/>
      <c r="J5" s="3"/>
      <c r="K5" s="3"/>
      <c r="L5" s="3"/>
      <c r="M5" s="3"/>
      <c r="N5" s="3"/>
      <c r="O5" s="3"/>
      <c r="P5" s="3"/>
      <c r="Q5" s="3"/>
    </row>
    <row r="6" customFormat="false" ht="48" hidden="false" customHeight="true" outlineLevel="0" collapsed="false">
      <c r="A6" s="4" t="s">
        <v>197</v>
      </c>
      <c r="B6" s="4" t="s">
        <v>344</v>
      </c>
      <c r="C6" s="4" t="s">
        <v>221</v>
      </c>
      <c r="D6" s="4" t="s">
        <v>345</v>
      </c>
      <c r="E6" s="4" t="s">
        <v>346</v>
      </c>
      <c r="F6" s="4" t="s">
        <v>347</v>
      </c>
      <c r="G6" s="4" t="s">
        <v>348</v>
      </c>
      <c r="H6" s="4" t="s">
        <v>349</v>
      </c>
      <c r="I6" s="4" t="s">
        <v>350</v>
      </c>
      <c r="J6" s="4" t="s">
        <v>351</v>
      </c>
      <c r="K6" s="4" t="s">
        <v>352</v>
      </c>
      <c r="L6" s="4" t="s">
        <v>353</v>
      </c>
      <c r="M6" s="4" t="s">
        <v>354</v>
      </c>
      <c r="N6" s="4" t="s">
        <v>355</v>
      </c>
      <c r="O6" s="4" t="s">
        <v>356</v>
      </c>
      <c r="P6" s="4" t="s">
        <v>357</v>
      </c>
      <c r="Q6" s="4" t="s">
        <v>358</v>
      </c>
    </row>
    <row r="7" customFormat="false" ht="27.75" hidden="false" customHeight="true" outlineLevel="0" collapsed="false">
      <c r="A7" s="25" t="s">
        <v>204</v>
      </c>
      <c r="B7" s="10" t="s">
        <v>359</v>
      </c>
      <c r="C7" s="59" t="s">
        <v>227</v>
      </c>
      <c r="D7" s="59" t="s">
        <v>240</v>
      </c>
      <c r="E7" s="59" t="s">
        <v>246</v>
      </c>
      <c r="F7" s="59" t="s">
        <v>254</v>
      </c>
      <c r="G7" s="60" t="n">
        <f aca="false">INDEX('Priority Framework'!$C$6:$C$10,MATCH(C7,'Priority Framework'!$A$6:$A$10,0))</f>
        <v>13</v>
      </c>
      <c r="H7" s="61" t="n">
        <f aca="false">INDEX('Priority Framework'!$D$16:$D$20,MATCH(D7,'Priority Framework'!$A$16:$A$20,0))</f>
        <v>1.5</v>
      </c>
      <c r="I7" s="61" t="n">
        <f aca="false">INDEX('Priority Framework'!$D$24:$D$28,MATCH(E7,'Priority Framework'!$A$24:$A$28,0))</f>
        <v>0.9</v>
      </c>
      <c r="J7" s="61" t="n">
        <f aca="false">INDEX('Priority Framework'!$D$32:$D$36,MATCH(F7,'Priority Framework'!$A$32:$A$36,0))</f>
        <v>0.2</v>
      </c>
      <c r="K7" s="41" t="n">
        <f aca="false">IF(G7&gt;='Priority Framework'!$C$11,G7,ROUND(G7*H7*I7*J7,2))</f>
        <v>3.51</v>
      </c>
      <c r="L7" s="39" t="str">
        <f aca="false">IF(G7&gt;='Priority Framework'!$C$11,"YES","No")</f>
        <v>No</v>
      </c>
      <c r="M7" s="33" t="n">
        <v>3.51</v>
      </c>
      <c r="N7" s="39" t="str">
        <f aca="false">IF(M7="","n/a",IF(ABS(K7-M7)&lt;0.005,"Ties","DIFFERS"))</f>
        <v>Ties</v>
      </c>
      <c r="O7" s="39" t="n">
        <f aca="false">RANK(K7,$K$7:$K$15)</f>
        <v>6</v>
      </c>
      <c r="P7" s="27" t="n">
        <f aca="false">RANK(Q7,$Q$7:$Q$15)</f>
        <v>6</v>
      </c>
      <c r="Q7" s="50" t="n">
        <f aca="false">IF(L7="YES",1000,0)+K7</f>
        <v>3.51</v>
      </c>
    </row>
    <row r="8" customFormat="false" ht="27.75" hidden="false" customHeight="true" outlineLevel="0" collapsed="false">
      <c r="A8" s="25" t="s">
        <v>206</v>
      </c>
      <c r="B8" s="10" t="s">
        <v>359</v>
      </c>
      <c r="C8" s="59" t="s">
        <v>227</v>
      </c>
      <c r="D8" s="59" t="s">
        <v>240</v>
      </c>
      <c r="E8" s="59" t="s">
        <v>246</v>
      </c>
      <c r="F8" s="59" t="s">
        <v>254</v>
      </c>
      <c r="G8" s="60" t="n">
        <f aca="false">INDEX('Priority Framework'!$C$6:$C$10,MATCH(C8,'Priority Framework'!$A$6:$A$10,0))</f>
        <v>13</v>
      </c>
      <c r="H8" s="61" t="n">
        <f aca="false">INDEX('Priority Framework'!$D$16:$D$20,MATCH(D8,'Priority Framework'!$A$16:$A$20,0))</f>
        <v>1.5</v>
      </c>
      <c r="I8" s="61" t="n">
        <f aca="false">INDEX('Priority Framework'!$D$24:$D$28,MATCH(E8,'Priority Framework'!$A$24:$A$28,0))</f>
        <v>0.9</v>
      </c>
      <c r="J8" s="61" t="n">
        <f aca="false">INDEX('Priority Framework'!$D$32:$D$36,MATCH(F8,'Priority Framework'!$A$32:$A$36,0))</f>
        <v>0.2</v>
      </c>
      <c r="K8" s="41" t="n">
        <f aca="false">IF(G8&gt;='Priority Framework'!$C$11,G8,ROUND(G8*H8*I8*J8,2))</f>
        <v>3.51</v>
      </c>
      <c r="L8" s="39" t="str">
        <f aca="false">IF(G8&gt;='Priority Framework'!$C$11,"YES","No")</f>
        <v>No</v>
      </c>
      <c r="M8" s="33" t="n">
        <v>3.51</v>
      </c>
      <c r="N8" s="39" t="str">
        <f aca="false">IF(M8="","n/a",IF(ABS(K8-M8)&lt;0.005,"Ties","DIFFERS"))</f>
        <v>Ties</v>
      </c>
      <c r="O8" s="39" t="n">
        <f aca="false">RANK(K8,$K$7:$K$15)</f>
        <v>6</v>
      </c>
      <c r="P8" s="27" t="n">
        <f aca="false">RANK(Q8,$Q$7:$Q$15)</f>
        <v>6</v>
      </c>
      <c r="Q8" s="50" t="n">
        <f aca="false">IF(L8="YES",1000,0)+K8</f>
        <v>3.51</v>
      </c>
    </row>
    <row r="9" customFormat="false" ht="27.75" hidden="false" customHeight="true" outlineLevel="0" collapsed="false">
      <c r="A9" s="25" t="s">
        <v>207</v>
      </c>
      <c r="B9" s="10" t="s">
        <v>359</v>
      </c>
      <c r="C9" s="59" t="s">
        <v>227</v>
      </c>
      <c r="D9" s="59" t="s">
        <v>239</v>
      </c>
      <c r="E9" s="59" t="s">
        <v>246</v>
      </c>
      <c r="F9" s="59" t="s">
        <v>252</v>
      </c>
      <c r="G9" s="60" t="n">
        <f aca="false">INDEX('Priority Framework'!$C$6:$C$10,MATCH(C9,'Priority Framework'!$A$6:$A$10,0))</f>
        <v>13</v>
      </c>
      <c r="H9" s="61" t="n">
        <f aca="false">INDEX('Priority Framework'!$D$16:$D$20,MATCH(D9,'Priority Framework'!$A$16:$A$20,0))</f>
        <v>2</v>
      </c>
      <c r="I9" s="61" t="n">
        <f aca="false">INDEX('Priority Framework'!$D$24:$D$28,MATCH(E9,'Priority Framework'!$A$24:$A$28,0))</f>
        <v>0.9</v>
      </c>
      <c r="J9" s="61" t="n">
        <f aca="false">INDEX('Priority Framework'!$D$32:$D$36,MATCH(F9,'Priority Framework'!$A$32:$A$36,0))</f>
        <v>0.6</v>
      </c>
      <c r="K9" s="41" t="n">
        <f aca="false">IF(G9&gt;='Priority Framework'!$C$11,G9,ROUND(G9*H9*I9*J9,2))</f>
        <v>14.04</v>
      </c>
      <c r="L9" s="39" t="str">
        <f aca="false">IF(G9&gt;='Priority Framework'!$C$11,"YES","No")</f>
        <v>No</v>
      </c>
      <c r="M9" s="33" t="n">
        <v>14.04</v>
      </c>
      <c r="N9" s="39" t="str">
        <f aca="false">IF(M9="","n/a",IF(ABS(K9-M9)&lt;0.005,"Ties","DIFFERS"))</f>
        <v>Ties</v>
      </c>
      <c r="O9" s="39" t="n">
        <f aca="false">RANK(K9,$K$7:$K$15)</f>
        <v>5</v>
      </c>
      <c r="P9" s="27" t="n">
        <f aca="false">RANK(Q9,$Q$7:$Q$15)</f>
        <v>5</v>
      </c>
      <c r="Q9" s="50" t="n">
        <f aca="false">IF(L9="YES",1000,0)+K9</f>
        <v>14.04</v>
      </c>
    </row>
    <row r="10" customFormat="false" ht="27.75" hidden="false" customHeight="true" outlineLevel="0" collapsed="false">
      <c r="A10" s="25" t="s">
        <v>208</v>
      </c>
      <c r="B10" s="10" t="s">
        <v>359</v>
      </c>
      <c r="C10" s="59" t="s">
        <v>227</v>
      </c>
      <c r="D10" s="59" t="s">
        <v>240</v>
      </c>
      <c r="E10" s="59" t="s">
        <v>246</v>
      </c>
      <c r="F10" s="59" t="s">
        <v>250</v>
      </c>
      <c r="G10" s="60" t="n">
        <f aca="false">INDEX('Priority Framework'!$C$6:$C$10,MATCH(C10,'Priority Framework'!$A$6:$A$10,0))</f>
        <v>13</v>
      </c>
      <c r="H10" s="61" t="n">
        <f aca="false">INDEX('Priority Framework'!$D$16:$D$20,MATCH(D10,'Priority Framework'!$A$16:$A$20,0))</f>
        <v>1.5</v>
      </c>
      <c r="I10" s="61" t="n">
        <f aca="false">INDEX('Priority Framework'!$D$24:$D$28,MATCH(E10,'Priority Framework'!$A$24:$A$28,0))</f>
        <v>0.9</v>
      </c>
      <c r="J10" s="61" t="n">
        <f aca="false">INDEX('Priority Framework'!$D$32:$D$36,MATCH(F10,'Priority Framework'!$A$32:$A$36,0))</f>
        <v>1</v>
      </c>
      <c r="K10" s="41" t="n">
        <f aca="false">IF(G10&gt;='Priority Framework'!$C$11,G10,ROUND(G10*H10*I10*J10,2))</f>
        <v>17.55</v>
      </c>
      <c r="L10" s="39" t="str">
        <f aca="false">IF(G10&gt;='Priority Framework'!$C$11,"YES","No")</f>
        <v>No</v>
      </c>
      <c r="M10" s="33" t="n">
        <v>17.55</v>
      </c>
      <c r="N10" s="39" t="str">
        <f aca="false">IF(M10="","n/a",IF(ABS(K10-M10)&lt;0.005,"Ties","DIFFERS"))</f>
        <v>Ties</v>
      </c>
      <c r="O10" s="39" t="n">
        <f aca="false">RANK(K10,$K$7:$K$15)</f>
        <v>4</v>
      </c>
      <c r="P10" s="27" t="n">
        <f aca="false">RANK(Q10,$Q$7:$Q$15)</f>
        <v>4</v>
      </c>
      <c r="Q10" s="50" t="n">
        <f aca="false">IF(L10="YES",1000,0)+K10</f>
        <v>17.55</v>
      </c>
    </row>
    <row r="11" customFormat="false" ht="27.75" hidden="false" customHeight="true" outlineLevel="0" collapsed="false">
      <c r="A11" s="25" t="s">
        <v>209</v>
      </c>
      <c r="B11" s="10" t="s">
        <v>359</v>
      </c>
      <c r="C11" s="59" t="s">
        <v>226</v>
      </c>
      <c r="D11" s="59" t="s">
        <v>240</v>
      </c>
      <c r="E11" s="59" t="s">
        <v>246</v>
      </c>
      <c r="F11" s="59" t="s">
        <v>254</v>
      </c>
      <c r="G11" s="60" t="n">
        <f aca="false">INDEX('Priority Framework'!$C$6:$C$10,MATCH(C11,'Priority Framework'!$A$6:$A$10,0))</f>
        <v>40</v>
      </c>
      <c r="H11" s="61" t="n">
        <f aca="false">INDEX('Priority Framework'!$D$16:$D$20,MATCH(D11,'Priority Framework'!$A$16:$A$20,0))</f>
        <v>1.5</v>
      </c>
      <c r="I11" s="61" t="n">
        <f aca="false">INDEX('Priority Framework'!$D$24:$D$28,MATCH(E11,'Priority Framework'!$A$24:$A$28,0))</f>
        <v>0.9</v>
      </c>
      <c r="J11" s="61" t="n">
        <f aca="false">INDEX('Priority Framework'!$D$32:$D$36,MATCH(F11,'Priority Framework'!$A$32:$A$36,0))</f>
        <v>0.2</v>
      </c>
      <c r="K11" s="41" t="n">
        <f aca="false">IF(G11&gt;='Priority Framework'!$C$11,G11,ROUND(G11*H11*I11*J11,2))</f>
        <v>40</v>
      </c>
      <c r="L11" s="39" t="str">
        <f aca="false">IF(G11&gt;='Priority Framework'!$C$11,"YES","No")</f>
        <v>YES</v>
      </c>
      <c r="M11" s="33" t="n">
        <v>40</v>
      </c>
      <c r="N11" s="39" t="str">
        <f aca="false">IF(M11="","n/a",IF(ABS(K11-M11)&lt;0.005,"Ties","DIFFERS"))</f>
        <v>Ties</v>
      </c>
      <c r="O11" s="39" t="n">
        <f aca="false">RANK(K11,$K$7:$K$15)</f>
        <v>2</v>
      </c>
      <c r="P11" s="27" t="n">
        <f aca="false">RANK(Q11,$Q$7:$Q$15)</f>
        <v>1</v>
      </c>
      <c r="Q11" s="50" t="n">
        <f aca="false">IF(L11="YES",1000,0)+K11</f>
        <v>1040</v>
      </c>
    </row>
    <row r="12" customFormat="false" ht="27.75" hidden="false" customHeight="true" outlineLevel="0" collapsed="false">
      <c r="A12" s="25" t="s">
        <v>210</v>
      </c>
      <c r="B12" s="10" t="s">
        <v>211</v>
      </c>
      <c r="C12" s="59" t="s">
        <v>226</v>
      </c>
      <c r="D12" s="59" t="s">
        <v>240</v>
      </c>
      <c r="E12" s="59" t="s">
        <v>246</v>
      </c>
      <c r="F12" s="59" t="s">
        <v>254</v>
      </c>
      <c r="G12" s="60" t="n">
        <f aca="false">INDEX('Priority Framework'!$C$6:$C$10,MATCH(C12,'Priority Framework'!$A$6:$A$10,0))</f>
        <v>40</v>
      </c>
      <c r="H12" s="61" t="n">
        <f aca="false">INDEX('Priority Framework'!$D$16:$D$20,MATCH(D12,'Priority Framework'!$A$16:$A$20,0))</f>
        <v>1.5</v>
      </c>
      <c r="I12" s="61" t="n">
        <f aca="false">INDEX('Priority Framework'!$D$24:$D$28,MATCH(E12,'Priority Framework'!$A$24:$A$28,0))</f>
        <v>0.9</v>
      </c>
      <c r="J12" s="61" t="n">
        <f aca="false">INDEX('Priority Framework'!$D$32:$D$36,MATCH(F12,'Priority Framework'!$A$32:$A$36,0))</f>
        <v>0.2</v>
      </c>
      <c r="K12" s="41" t="n">
        <f aca="false">IF(G12&gt;='Priority Framework'!$C$11,G12,ROUND(G12*H12*I12*J12,2))</f>
        <v>40</v>
      </c>
      <c r="L12" s="39" t="str">
        <f aca="false">IF(G12&gt;='Priority Framework'!$C$11,"YES","No")</f>
        <v>YES</v>
      </c>
      <c r="M12" s="33" t="n">
        <v>40</v>
      </c>
      <c r="N12" s="39" t="str">
        <f aca="false">IF(M12="","n/a",IF(ABS(K12-M12)&lt;0.005,"Ties","DIFFERS"))</f>
        <v>Ties</v>
      </c>
      <c r="O12" s="39" t="n">
        <f aca="false">RANK(K12,$K$7:$K$15)</f>
        <v>2</v>
      </c>
      <c r="P12" s="27" t="n">
        <f aca="false">RANK(Q12,$Q$7:$Q$15)</f>
        <v>1</v>
      </c>
      <c r="Q12" s="50" t="n">
        <f aca="false">IF(L12="YES",1000,0)+K12</f>
        <v>1040</v>
      </c>
    </row>
    <row r="13" customFormat="false" ht="27.75" hidden="false" customHeight="true" outlineLevel="0" collapsed="false">
      <c r="A13" s="25" t="s">
        <v>212</v>
      </c>
      <c r="B13" s="10" t="s">
        <v>213</v>
      </c>
      <c r="C13" s="59" t="s">
        <v>229</v>
      </c>
      <c r="D13" s="59" t="s">
        <v>240</v>
      </c>
      <c r="E13" s="59" t="s">
        <v>246</v>
      </c>
      <c r="F13" s="59" t="s">
        <v>254</v>
      </c>
      <c r="G13" s="60" t="n">
        <f aca="false">INDEX('Priority Framework'!$C$6:$C$10,MATCH(C13,'Priority Framework'!$A$6:$A$10,0))</f>
        <v>10</v>
      </c>
      <c r="H13" s="61" t="n">
        <f aca="false">INDEX('Priority Framework'!$D$16:$D$20,MATCH(D13,'Priority Framework'!$A$16:$A$20,0))</f>
        <v>1.5</v>
      </c>
      <c r="I13" s="61" t="n">
        <f aca="false">INDEX('Priority Framework'!$D$24:$D$28,MATCH(E13,'Priority Framework'!$A$24:$A$28,0))</f>
        <v>0.9</v>
      </c>
      <c r="J13" s="61" t="n">
        <f aca="false">INDEX('Priority Framework'!$D$32:$D$36,MATCH(F13,'Priority Framework'!$A$32:$A$36,0))</f>
        <v>0.2</v>
      </c>
      <c r="K13" s="41" t="n">
        <f aca="false">IF(G13&gt;='Priority Framework'!$C$11,G13,ROUND(G13*H13*I13*J13,2))</f>
        <v>2.7</v>
      </c>
      <c r="L13" s="39" t="str">
        <f aca="false">IF(G13&gt;='Priority Framework'!$C$11,"YES","No")</f>
        <v>No</v>
      </c>
      <c r="M13" s="33" t="n">
        <v>2.7</v>
      </c>
      <c r="N13" s="39" t="str">
        <f aca="false">IF(M13="","n/a",IF(ABS(K13-M13)&lt;0.005,"Ties","DIFFERS"))</f>
        <v>Ties</v>
      </c>
      <c r="O13" s="39" t="n">
        <f aca="false">RANK(K13,$K$7:$K$15)</f>
        <v>8</v>
      </c>
      <c r="P13" s="27" t="n">
        <f aca="false">RANK(Q13,$Q$7:$Q$15)</f>
        <v>8</v>
      </c>
      <c r="Q13" s="50" t="n">
        <f aca="false">IF(L13="YES",1000,0)+K13</f>
        <v>2.7</v>
      </c>
    </row>
    <row r="14" customFormat="false" ht="27.75" hidden="false" customHeight="true" outlineLevel="0" collapsed="false">
      <c r="A14" s="25" t="s">
        <v>214</v>
      </c>
      <c r="B14" s="10" t="s">
        <v>215</v>
      </c>
      <c r="C14" s="59" t="s">
        <v>230</v>
      </c>
      <c r="D14" s="59" t="s">
        <v>240</v>
      </c>
      <c r="E14" s="59" t="s">
        <v>246</v>
      </c>
      <c r="F14" s="59" t="s">
        <v>254</v>
      </c>
      <c r="G14" s="60" t="n">
        <f aca="false">INDEX('Priority Framework'!$C$6:$C$10,MATCH(C14,'Priority Framework'!$A$6:$A$10,0))</f>
        <v>0</v>
      </c>
      <c r="H14" s="61" t="n">
        <f aca="false">INDEX('Priority Framework'!$D$16:$D$20,MATCH(D14,'Priority Framework'!$A$16:$A$20,0))</f>
        <v>1.5</v>
      </c>
      <c r="I14" s="61" t="n">
        <f aca="false">INDEX('Priority Framework'!$D$24:$D$28,MATCH(E14,'Priority Framework'!$A$24:$A$28,0))</f>
        <v>0.9</v>
      </c>
      <c r="J14" s="61" t="n">
        <f aca="false">INDEX('Priority Framework'!$D$32:$D$36,MATCH(F14,'Priority Framework'!$A$32:$A$36,0))</f>
        <v>0.2</v>
      </c>
      <c r="K14" s="41" t="n">
        <f aca="false">IF(G14&gt;='Priority Framework'!$C$11,G14,ROUND(G14*H14*I14*J14,2))</f>
        <v>0</v>
      </c>
      <c r="L14" s="39" t="str">
        <f aca="false">IF(G14&gt;='Priority Framework'!$C$11,"YES","No")</f>
        <v>No</v>
      </c>
      <c r="M14" s="33" t="n">
        <v>0</v>
      </c>
      <c r="N14" s="39" t="str">
        <f aca="false">IF(M14="","n/a",IF(ABS(K14-M14)&lt;0.005,"Ties","DIFFERS"))</f>
        <v>Ties</v>
      </c>
      <c r="O14" s="39" t="n">
        <f aca="false">RANK(K14,$K$7:$K$15)</f>
        <v>9</v>
      </c>
      <c r="P14" s="27" t="n">
        <f aca="false">RANK(Q14,$Q$7:$Q$15)</f>
        <v>9</v>
      </c>
      <c r="Q14" s="50" t="n">
        <f aca="false">IF(L14="YES",1000,0)+K14</f>
        <v>0</v>
      </c>
    </row>
    <row r="15" customFormat="false" ht="27.75" hidden="false" customHeight="true" outlineLevel="0" collapsed="false">
      <c r="A15" s="25" t="s">
        <v>360</v>
      </c>
      <c r="B15" s="10" t="s">
        <v>139</v>
      </c>
      <c r="C15" s="59" t="s">
        <v>227</v>
      </c>
      <c r="D15" s="59" t="s">
        <v>238</v>
      </c>
      <c r="E15" s="59" t="s">
        <v>244</v>
      </c>
      <c r="F15" s="59" t="s">
        <v>250</v>
      </c>
      <c r="G15" s="60" t="n">
        <f aca="false">INDEX('Priority Framework'!$C$6:$C$10,MATCH(C15,'Priority Framework'!$A$6:$A$10,0))</f>
        <v>13</v>
      </c>
      <c r="H15" s="61" t="n">
        <f aca="false">INDEX('Priority Framework'!$D$16:$D$20,MATCH(D15,'Priority Framework'!$A$16:$A$20,0))</f>
        <v>2.5</v>
      </c>
      <c r="I15" s="61" t="n">
        <f aca="false">INDEX('Priority Framework'!$D$24:$D$28,MATCH(E15,'Priority Framework'!$A$24:$A$28,0))</f>
        <v>1.5</v>
      </c>
      <c r="J15" s="61" t="n">
        <f aca="false">INDEX('Priority Framework'!$D$32:$D$36,MATCH(F15,'Priority Framework'!$A$32:$A$36,0))</f>
        <v>1</v>
      </c>
      <c r="K15" s="41" t="n">
        <f aca="false">IF(G15&gt;='Priority Framework'!$C$11,G15,ROUND(G15*H15*I15*J15,2))</f>
        <v>48.75</v>
      </c>
      <c r="L15" s="39" t="str">
        <f aca="false">IF(G15&gt;='Priority Framework'!$C$11,"YES","No")</f>
        <v>No</v>
      </c>
      <c r="M15" s="33"/>
      <c r="N15" s="39" t="str">
        <f aca="false">IF(M15="","n/a",IF(ABS(K15-M15)&lt;0.005,"Ties","DIFFERS"))</f>
        <v>n/a</v>
      </c>
      <c r="O15" s="39" t="n">
        <f aca="false">RANK(K15,$K$7:$K$15)</f>
        <v>1</v>
      </c>
      <c r="P15" s="27" t="n">
        <f aca="false">RANK(Q15,$Q$7:$Q$15)</f>
        <v>3</v>
      </c>
      <c r="Q15" s="50" t="n">
        <f aca="false">IF(L15="YES",1000,0)+K15</f>
        <v>48.75</v>
      </c>
    </row>
    <row r="16" customFormat="false" ht="28.5" hidden="false" customHeight="true" outlineLevel="0" collapsed="false">
      <c r="A16" s="29" t="s">
        <v>361</v>
      </c>
      <c r="B16" s="29"/>
      <c r="C16" s="29"/>
      <c r="D16" s="29"/>
      <c r="E16" s="29"/>
      <c r="F16" s="29"/>
      <c r="G16" s="29"/>
      <c r="H16" s="29"/>
      <c r="I16" s="29"/>
      <c r="J16" s="29"/>
      <c r="K16" s="29"/>
      <c r="L16" s="29"/>
      <c r="M16" s="29"/>
      <c r="N16" s="29"/>
      <c r="O16" s="29"/>
      <c r="P16" s="29"/>
      <c r="Q16" s="29"/>
    </row>
    <row r="18" customFormat="false" ht="19.5" hidden="false" customHeight="true" outlineLevel="0" collapsed="false">
      <c r="A18" s="18" t="s">
        <v>362</v>
      </c>
      <c r="B18" s="18"/>
      <c r="C18" s="18"/>
      <c r="D18" s="18"/>
      <c r="E18" s="18"/>
      <c r="F18" s="18"/>
      <c r="G18" s="18"/>
      <c r="H18" s="18"/>
      <c r="I18" s="18"/>
      <c r="J18" s="18"/>
      <c r="K18" s="18"/>
      <c r="L18" s="18"/>
      <c r="M18" s="18"/>
      <c r="N18" s="18"/>
      <c r="O18" s="18"/>
      <c r="P18" s="18"/>
      <c r="Q18" s="18"/>
    </row>
    <row r="19" customFormat="false" ht="15.75" hidden="false" customHeight="true" outlineLevel="0" collapsed="false">
      <c r="A19" s="29" t="s">
        <v>363</v>
      </c>
      <c r="B19" s="29"/>
      <c r="C19" s="29"/>
      <c r="D19" s="29"/>
      <c r="E19" s="29"/>
      <c r="F19" s="29"/>
      <c r="G19" s="29"/>
      <c r="H19" s="29"/>
      <c r="I19" s="29"/>
      <c r="J19" s="29"/>
      <c r="K19" s="29"/>
      <c r="L19" s="29"/>
      <c r="M19" s="29"/>
      <c r="N19" s="29"/>
      <c r="O19" s="29"/>
      <c r="P19" s="29"/>
      <c r="Q19" s="29"/>
    </row>
    <row r="20" customFormat="false" ht="15" hidden="false" customHeight="false" outlineLevel="0" collapsed="false">
      <c r="A20" s="25" t="s">
        <v>364</v>
      </c>
      <c r="B20" s="62" t="s">
        <v>365</v>
      </c>
    </row>
    <row r="21" customFormat="false" ht="15" hidden="false" customHeight="false" outlineLevel="0" collapsed="false">
      <c r="A21" s="25" t="s">
        <v>366</v>
      </c>
      <c r="B21" s="63" t="str">
        <f aca="false">'Agent Availability'!B12</f>
        <v>Available (routable)</v>
      </c>
    </row>
    <row r="22" customFormat="false" ht="15" hidden="false" customHeight="false" outlineLevel="0" collapsed="false">
      <c r="A22" s="25" t="s">
        <v>178</v>
      </c>
      <c r="B22" s="64" t="str">
        <f aca="false">'Agent Availability'!B13</f>
        <v>YES</v>
      </c>
    </row>
    <row r="23" customFormat="false" ht="27.75" hidden="false" customHeight="true" outlineLevel="0" collapsed="false">
      <c r="A23" s="25" t="s">
        <v>367</v>
      </c>
      <c r="B23" s="65" t="s">
        <v>204</v>
      </c>
    </row>
    <row r="25" customFormat="false" ht="19.5" hidden="false" customHeight="true" outlineLevel="0" collapsed="false">
      <c r="A25" s="4" t="s">
        <v>368</v>
      </c>
      <c r="B25" s="4" t="s">
        <v>73</v>
      </c>
      <c r="C25" s="4" t="s">
        <v>52</v>
      </c>
      <c r="D25" s="4" t="s">
        <v>369</v>
      </c>
    </row>
    <row r="26" customFormat="false" ht="27.75" hidden="false" customHeight="true" outlineLevel="0" collapsed="false">
      <c r="A26" s="8" t="s">
        <v>370</v>
      </c>
      <c r="B26" s="66" t="n">
        <v>50</v>
      </c>
      <c r="C26" s="67" t="s">
        <v>80</v>
      </c>
      <c r="D26" s="68" t="s">
        <v>371</v>
      </c>
      <c r="E26" s="68"/>
      <c r="F26" s="68"/>
    </row>
    <row r="27" customFormat="false" ht="27.75" hidden="false" customHeight="true" outlineLevel="0" collapsed="false">
      <c r="A27" s="8" t="s">
        <v>372</v>
      </c>
      <c r="B27" s="66" t="n">
        <v>15</v>
      </c>
      <c r="C27" s="67" t="s">
        <v>80</v>
      </c>
      <c r="D27" s="68" t="s">
        <v>373</v>
      </c>
      <c r="E27" s="68"/>
      <c r="F27" s="68"/>
    </row>
    <row r="28" customFormat="false" ht="27.75" hidden="false" customHeight="true" outlineLevel="0" collapsed="false">
      <c r="A28" s="8" t="s">
        <v>374</v>
      </c>
      <c r="B28" s="66" t="n">
        <v>300</v>
      </c>
      <c r="C28" s="67" t="s">
        <v>62</v>
      </c>
      <c r="D28" s="68" t="s">
        <v>375</v>
      </c>
      <c r="E28" s="68"/>
      <c r="F28" s="68"/>
    </row>
    <row r="29" customFormat="false" ht="27.75" hidden="false" customHeight="true" outlineLevel="0" collapsed="false">
      <c r="A29" s="8" t="s">
        <v>376</v>
      </c>
      <c r="B29" s="66" t="n">
        <v>2</v>
      </c>
      <c r="C29" s="67" t="s">
        <v>377</v>
      </c>
      <c r="D29" s="68" t="s">
        <v>378</v>
      </c>
      <c r="E29" s="68"/>
      <c r="F29" s="68"/>
    </row>
    <row r="30" customFormat="false" ht="27.75" hidden="false" customHeight="true" outlineLevel="0" collapsed="false">
      <c r="A30" s="8" t="s">
        <v>379</v>
      </c>
      <c r="B30" s="66" t="n">
        <v>2</v>
      </c>
      <c r="C30" s="67" t="s">
        <v>380</v>
      </c>
      <c r="D30" s="68" t="s">
        <v>381</v>
      </c>
      <c r="E30" s="68"/>
      <c r="F30" s="68"/>
    </row>
    <row r="31" customFormat="false" ht="15" hidden="false" customHeight="false" outlineLevel="0" collapsed="false">
      <c r="A31" s="9" t="s">
        <v>382</v>
      </c>
      <c r="B31" s="69" t="n">
        <f aca="false">'Priority Framework'!$D$78</f>
        <v>0.2</v>
      </c>
      <c r="C31" s="22" t="s">
        <v>383</v>
      </c>
      <c r="D31" s="28" t="s">
        <v>384</v>
      </c>
      <c r="E31" s="28"/>
      <c r="F31" s="28"/>
    </row>
    <row r="33" customFormat="false" ht="19.5" hidden="false" customHeight="true" outlineLevel="0" collapsed="false">
      <c r="A33" s="4" t="s">
        <v>385</v>
      </c>
      <c r="B33" s="4" t="s">
        <v>73</v>
      </c>
      <c r="C33" s="4" t="s">
        <v>52</v>
      </c>
      <c r="D33" s="4"/>
    </row>
    <row r="34" customFormat="false" ht="27.75" hidden="false" customHeight="true" outlineLevel="0" collapsed="false">
      <c r="A34" s="5" t="s">
        <v>386</v>
      </c>
      <c r="B34" s="45" t="n">
        <v>900</v>
      </c>
      <c r="C34" s="39" t="s">
        <v>62</v>
      </c>
    </row>
    <row r="35" customFormat="false" ht="27.75" hidden="false" customHeight="true" outlineLevel="0" collapsed="false">
      <c r="A35" s="5" t="s">
        <v>387</v>
      </c>
      <c r="B35" s="45" t="n">
        <v>0</v>
      </c>
      <c r="C35" s="39" t="s">
        <v>377</v>
      </c>
    </row>
    <row r="36" customFormat="false" ht="27.75" hidden="false" customHeight="true" outlineLevel="0" collapsed="false">
      <c r="A36" s="5" t="s">
        <v>388</v>
      </c>
      <c r="B36" s="45" t="n">
        <v>10</v>
      </c>
      <c r="C36" s="39" t="s">
        <v>377</v>
      </c>
    </row>
    <row r="37" customFormat="false" ht="27.75" hidden="false" customHeight="true" outlineLevel="0" collapsed="false">
      <c r="A37" s="5" t="s">
        <v>389</v>
      </c>
      <c r="B37" s="45" t="s">
        <v>321</v>
      </c>
      <c r="C37" s="39" t="s">
        <v>390</v>
      </c>
    </row>
    <row r="38" customFormat="false" ht="27.75" hidden="false" customHeight="true" outlineLevel="0" collapsed="false">
      <c r="A38" s="5" t="s">
        <v>391</v>
      </c>
      <c r="B38" s="45" t="n">
        <v>5</v>
      </c>
      <c r="C38" s="39" t="s">
        <v>377</v>
      </c>
    </row>
    <row r="39" customFormat="false" ht="27.75" hidden="false" customHeight="true" outlineLevel="0" collapsed="false">
      <c r="A39" s="5" t="s">
        <v>392</v>
      </c>
      <c r="B39" s="45" t="n">
        <v>3</v>
      </c>
      <c r="C39" s="39" t="s">
        <v>380</v>
      </c>
    </row>
    <row r="41" customFormat="false" ht="48" hidden="false" customHeight="true" outlineLevel="0" collapsed="false">
      <c r="A41" s="4" t="s">
        <v>197</v>
      </c>
      <c r="B41" s="4" t="s">
        <v>393</v>
      </c>
      <c r="C41" s="4" t="s">
        <v>394</v>
      </c>
      <c r="D41" s="4" t="s">
        <v>395</v>
      </c>
      <c r="E41" s="4" t="s">
        <v>396</v>
      </c>
      <c r="F41" s="4" t="s">
        <v>353</v>
      </c>
      <c r="G41" s="4" t="s">
        <v>397</v>
      </c>
      <c r="H41" s="4" t="s">
        <v>398</v>
      </c>
      <c r="I41" s="4" t="s">
        <v>399</v>
      </c>
    </row>
    <row r="42" customFormat="false" ht="15" hidden="false" customHeight="false" outlineLevel="0" collapsed="false">
      <c r="A42" s="25" t="str">
        <f aca="false">A7</f>
        <v>Empathy_Tel</v>
      </c>
      <c r="B42" s="60" t="str">
        <f aca="false">IF(A42=$B$23,"Home queue",INDEX('Agent Availability'!$G$27:$G$34,MATCH(A42,'Agent Availability'!$A$27:$A$34,0)))</f>
        <v>Home queue</v>
      </c>
      <c r="C42" s="45" t="n">
        <v>2</v>
      </c>
      <c r="D42" s="45" t="n">
        <v>30</v>
      </c>
      <c r="E42" s="50" t="n">
        <f aca="false">K7</f>
        <v>3.51</v>
      </c>
      <c r="F42" s="39" t="str">
        <f aca="false">L7</f>
        <v>No</v>
      </c>
      <c r="G42" s="39" t="str">
        <f aca="false">IF(B42&lt;&gt;"Yes","n/a",IF(AND(F42="YES",C42&gt;=1),"PASS (mandatory)",IF(D42&gt;=$B$26,"PASS","FAIL")))</f>
        <v>n/a</v>
      </c>
      <c r="H42" s="40" t="n">
        <f aca="false">IF(AND(B42="Yes",LEFT(G42,4)="PASS"),IF(F42="YES",1000,0)+E42+D42/1000,0)</f>
        <v>0</v>
      </c>
      <c r="I42" s="27" t="str">
        <f aca="false">IF(H42&gt;0,RANK(H42,$H$42:$H$49),"")</f>
        <v/>
      </c>
    </row>
    <row r="43" customFormat="false" ht="15" hidden="false" customHeight="false" outlineLevel="0" collapsed="false">
      <c r="A43" s="25" t="str">
        <f aca="false">A8</f>
        <v>Al_Jazeera_Tel</v>
      </c>
      <c r="B43" s="60" t="str">
        <f aca="false">IF(A43=$B$23,"Home queue",INDEX('Agent Availability'!$G$27:$G$34,MATCH(A43,'Agent Availability'!$A$27:$A$34,0)))</f>
        <v>Yes</v>
      </c>
      <c r="C43" s="45" t="n">
        <v>14</v>
      </c>
      <c r="D43" s="45" t="n">
        <v>88</v>
      </c>
      <c r="E43" s="50" t="n">
        <f aca="false">K8</f>
        <v>3.51</v>
      </c>
      <c r="F43" s="39" t="str">
        <f aca="false">L8</f>
        <v>No</v>
      </c>
      <c r="G43" s="39" t="str">
        <f aca="false">IF(B43&lt;&gt;"Yes","n/a",IF(AND(F43="YES",C43&gt;=1),"PASS (mandatory)",IF(D43&gt;=$B$26,"PASS","FAIL")))</f>
        <v>PASS</v>
      </c>
      <c r="H43" s="40" t="n">
        <f aca="false">IF(AND(B43="Yes",LEFT(G43,4)="PASS"),IF(F43="YES",1000,0)+E43+D43/1000,0)</f>
        <v>3.598</v>
      </c>
      <c r="I43" s="27" t="n">
        <f aca="false">IF(H43&gt;0,RANK(H43,$H$42:$H$49),"")</f>
        <v>3</v>
      </c>
    </row>
    <row r="44" customFormat="false" ht="15" hidden="false" customHeight="false" outlineLevel="0" collapsed="false">
      <c r="A44" s="25" t="str">
        <f aca="false">A9</f>
        <v>Construction_Worker_Charitable_Trust_Tel</v>
      </c>
      <c r="B44" s="60" t="str">
        <f aca="false">IF(A44=$B$23,"Home queue",INDEX('Agent Availability'!$G$27:$G$34,MATCH(A44,'Agent Availability'!$A$27:$A$34,0)))</f>
        <v>Yes</v>
      </c>
      <c r="C44" s="45" t="n">
        <v>10</v>
      </c>
      <c r="D44" s="45" t="n">
        <v>72</v>
      </c>
      <c r="E44" s="50" t="n">
        <f aca="false">K9</f>
        <v>14.04</v>
      </c>
      <c r="F44" s="39" t="str">
        <f aca="false">L9</f>
        <v>No</v>
      </c>
      <c r="G44" s="39" t="str">
        <f aca="false">IF(B44&lt;&gt;"Yes","n/a",IF(AND(F44="YES",C44&gt;=1),"PASS (mandatory)",IF(D44&gt;=$B$26,"PASS","FAIL")))</f>
        <v>PASS</v>
      </c>
      <c r="H44" s="40" t="n">
        <f aca="false">IF(AND(B44="Yes",LEFT(G44,4)="PASS"),IF(F44="YES",1000,0)+E44+D44/1000,0)</f>
        <v>14.112</v>
      </c>
      <c r="I44" s="27" t="n">
        <f aca="false">IF(H44&gt;0,RANK(H44,$H$42:$H$49),"")</f>
        <v>2</v>
      </c>
    </row>
    <row r="45" customFormat="false" ht="15" hidden="false" customHeight="false" outlineLevel="0" collapsed="false">
      <c r="A45" s="25" t="str">
        <f aca="false">A10</f>
        <v>Life_and_Progress_Assistance_Programme_Tel</v>
      </c>
      <c r="B45" s="60" t="str">
        <f aca="false">IF(A45=$B$23,"Home queue",INDEX('Agent Availability'!$G$27:$G$34,MATCH(A45,'Agent Availability'!$A$27:$A$34,0)))</f>
        <v>Yes</v>
      </c>
      <c r="C45" s="45" t="n">
        <v>6</v>
      </c>
      <c r="D45" s="45" t="n">
        <v>55</v>
      </c>
      <c r="E45" s="50" t="n">
        <f aca="false">K10</f>
        <v>17.55</v>
      </c>
      <c r="F45" s="39" t="str">
        <f aca="false">L10</f>
        <v>No</v>
      </c>
      <c r="G45" s="39" t="str">
        <f aca="false">IF(B45&lt;&gt;"Yes","n/a",IF(AND(F45="YES",C45&gt;=1),"PASS (mandatory)",IF(D45&gt;=$B$26,"PASS","FAIL")))</f>
        <v>PASS</v>
      </c>
      <c r="H45" s="40" t="n">
        <f aca="false">IF(AND(B45="Yes",LEFT(G45,4)="PASS"),IF(F45="YES",1000,0)+E45+D45/1000,0)</f>
        <v>17.605</v>
      </c>
      <c r="I45" s="27" t="n">
        <f aca="false">IF(H45&gt;0,RANK(H45,$H$42:$H$49),"")</f>
        <v>1</v>
      </c>
    </row>
    <row r="46" customFormat="false" ht="15" hidden="false" customHeight="false" outlineLevel="0" collapsed="false">
      <c r="A46" s="25" t="str">
        <f aca="false">A11</f>
        <v>Hourglass_Tel</v>
      </c>
      <c r="B46" s="60" t="str">
        <f aca="false">IF(A46=$B$23,"Home queue",INDEX('Agent Availability'!$G$27:$G$34,MATCH(A46,'Agent Availability'!$A$27:$A$34,0)))</f>
        <v>No</v>
      </c>
      <c r="C46" s="45" t="n">
        <v>1</v>
      </c>
      <c r="D46" s="45" t="n">
        <v>24</v>
      </c>
      <c r="E46" s="50" t="n">
        <f aca="false">K11</f>
        <v>40</v>
      </c>
      <c r="F46" s="39" t="str">
        <f aca="false">L11</f>
        <v>YES</v>
      </c>
      <c r="G46" s="39" t="str">
        <f aca="false">IF(B46&lt;&gt;"Yes","n/a",IF(AND(F46="YES",C46&gt;=1),"PASS (mandatory)",IF(D46&gt;=$B$26,"PASS","FAIL")))</f>
        <v>n/a</v>
      </c>
      <c r="H46" s="40" t="n">
        <f aca="false">IF(AND(B46="Yes",LEFT(G46,4)="PASS"),IF(F46="YES",1000,0)+E46+D46/1000,0)</f>
        <v>0</v>
      </c>
      <c r="I46" s="27" t="str">
        <f aca="false">IF(H46&gt;0,RANK(H46,$H$42:$H$49),"")</f>
        <v/>
      </c>
    </row>
    <row r="47" customFormat="false" ht="15" hidden="false" customHeight="false" outlineLevel="0" collapsed="false">
      <c r="A47" s="25" t="str">
        <f aca="false">A12</f>
        <v>Mind_Welfare_Tel</v>
      </c>
      <c r="B47" s="60" t="str">
        <f aca="false">IF(A47=$B$23,"Home queue",INDEX('Agent Availability'!$G$27:$G$34,MATCH(A47,'Agent Availability'!$A$27:$A$34,0)))</f>
        <v>No</v>
      </c>
      <c r="C47" s="45" t="n">
        <v>1</v>
      </c>
      <c r="D47" s="45" t="n">
        <v>20</v>
      </c>
      <c r="E47" s="50" t="n">
        <f aca="false">K12</f>
        <v>40</v>
      </c>
      <c r="F47" s="39" t="str">
        <f aca="false">L12</f>
        <v>YES</v>
      </c>
      <c r="G47" s="39" t="str">
        <f aca="false">IF(B47&lt;&gt;"Yes","n/a",IF(AND(F47="YES",C47&gt;=1),"PASS (mandatory)",IF(D47&gt;=$B$26,"PASS","FAIL")))</f>
        <v>n/a</v>
      </c>
      <c r="H47" s="40" t="n">
        <f aca="false">IF(AND(B47="Yes",LEFT(G47,4)="PASS"),IF(F47="YES",1000,0)+E47+D47/1000,0)</f>
        <v>0</v>
      </c>
      <c r="I47" s="27" t="str">
        <f aca="false">IF(H47&gt;0,RANK(H47,$H$42:$H$49),"")</f>
        <v/>
      </c>
    </row>
    <row r="48" customFormat="false" ht="15" hidden="false" customHeight="false" outlineLevel="0" collapsed="false">
      <c r="A48" s="25" t="str">
        <f aca="false">A13</f>
        <v>Gamstop_Betting_Shops_Tel</v>
      </c>
      <c r="B48" s="60" t="str">
        <f aca="false">IF(A48=$B$23,"Home queue",INDEX('Agent Availability'!$G$27:$G$34,MATCH(A48,'Agent Availability'!$A$27:$A$34,0)))</f>
        <v>Yes</v>
      </c>
      <c r="C48" s="45" t="n">
        <v>12</v>
      </c>
      <c r="D48" s="45" t="n">
        <v>62</v>
      </c>
      <c r="E48" s="50" t="n">
        <f aca="false">K13</f>
        <v>2.7</v>
      </c>
      <c r="F48" s="39" t="str">
        <f aca="false">L13</f>
        <v>No</v>
      </c>
      <c r="G48" s="39" t="str">
        <f aca="false">IF(B48&lt;&gt;"Yes","n/a",IF(AND(F48="YES",C48&gt;=1),"PASS (mandatory)",IF(D48&gt;=$B$26,"PASS","FAIL")))</f>
        <v>PASS</v>
      </c>
      <c r="H48" s="40" t="n">
        <f aca="false">IF(AND(B48="Yes",LEFT(G48,4)="PASS"),IF(F48="YES",1000,0)+E48+D48/1000,0)</f>
        <v>2.762</v>
      </c>
      <c r="I48" s="27" t="n">
        <f aca="false">IF(H48&gt;0,RANK(H48,$H$42:$H$49),"")</f>
        <v>4</v>
      </c>
    </row>
    <row r="49" customFormat="false" ht="15" hidden="false" customHeight="false" outlineLevel="0" collapsed="false">
      <c r="A49" s="25" t="str">
        <f aca="false">A14</f>
        <v>Evergreen_Consumer_Care_Tel</v>
      </c>
      <c r="B49" s="60" t="str">
        <f aca="false">IF(A49=$B$23,"Home queue",INDEX('Agent Availability'!$G$27:$G$34,MATCH(A49,'Agent Availability'!$A$27:$A$34,0)))</f>
        <v>No</v>
      </c>
      <c r="C49" s="45" t="n">
        <v>0</v>
      </c>
      <c r="D49" s="45" t="n">
        <v>5</v>
      </c>
      <c r="E49" s="50" t="n">
        <f aca="false">K14</f>
        <v>0</v>
      </c>
      <c r="F49" s="39" t="str">
        <f aca="false">L14</f>
        <v>No</v>
      </c>
      <c r="G49" s="39" t="str">
        <f aca="false">IF(B49&lt;&gt;"Yes","n/a",IF(AND(F49="YES",C49&gt;=1),"PASS (mandatory)",IF(D49&gt;=$B$26,"PASS","FAIL")))</f>
        <v>n/a</v>
      </c>
      <c r="H49" s="40" t="n">
        <f aca="false">IF(AND(B49="Yes",LEFT(G49,4)="PASS"),IF(F49="YES",1000,0)+E49+D49/1000,0)</f>
        <v>0</v>
      </c>
      <c r="I49" s="27" t="str">
        <f aca="false">IF(H49&gt;0,RANK(H49,$H$42:$H$49),"")</f>
        <v/>
      </c>
    </row>
    <row r="50" customFormat="false" ht="28.5" hidden="false" customHeight="true" outlineLevel="0" collapsed="false">
      <c r="A50" s="29" t="s">
        <v>400</v>
      </c>
      <c r="B50" s="29"/>
      <c r="C50" s="29"/>
      <c r="D50" s="29"/>
      <c r="E50" s="29"/>
      <c r="F50" s="29"/>
      <c r="G50" s="29"/>
      <c r="H50" s="29"/>
      <c r="I50" s="29"/>
      <c r="J50" s="29"/>
      <c r="K50" s="29"/>
      <c r="L50" s="29"/>
      <c r="M50" s="29"/>
      <c r="N50" s="29"/>
      <c r="O50" s="29"/>
      <c r="P50" s="29"/>
      <c r="Q50" s="29"/>
    </row>
    <row r="52" customFormat="false" ht="27.75" hidden="false" customHeight="true" outlineLevel="0" collapsed="false">
      <c r="A52" s="25" t="s">
        <v>401</v>
      </c>
      <c r="B52" s="5" t="str">
        <f aca="false">IFERROR(INDEX($A$42:$A$49,MATCH(1,$I$42:$I$49,0)),"None")</f>
        <v>Life_and_Progress_Assistance_Programme_Tel</v>
      </c>
    </row>
    <row r="53" customFormat="false" ht="15" hidden="false" customHeight="false" outlineLevel="0" collapsed="false">
      <c r="A53" s="25" t="s">
        <v>402</v>
      </c>
      <c r="B53" s="39" t="n">
        <f aca="false">IF(B52="None","",INDEX($D$42:$D$49,MATCH(B52,$A$42:$A$49,0)))</f>
        <v>55</v>
      </c>
    </row>
    <row r="54" customFormat="false" ht="15" hidden="false" customHeight="false" outlineLevel="0" collapsed="false">
      <c r="A54" s="25" t="s">
        <v>403</v>
      </c>
      <c r="B54" s="39" t="n">
        <f aca="false">INDEX($D$42:$D$49,MATCH($B$23,$A$42:$A$49,0))</f>
        <v>30</v>
      </c>
    </row>
    <row r="56" customFormat="false" ht="19.5" hidden="false" customHeight="true" outlineLevel="0" collapsed="false">
      <c r="A56" s="4" t="s">
        <v>404</v>
      </c>
      <c r="B56" s="4" t="s">
        <v>405</v>
      </c>
      <c r="C56" s="4" t="s">
        <v>406</v>
      </c>
      <c r="D56" s="4" t="s">
        <v>112</v>
      </c>
      <c r="E56" s="4" t="s">
        <v>407</v>
      </c>
      <c r="F56" s="4"/>
    </row>
    <row r="57" customFormat="false" ht="39.75" hidden="false" customHeight="true" outlineLevel="0" collapsed="false">
      <c r="A57" s="5" t="s">
        <v>408</v>
      </c>
      <c r="B57" s="70" t="str">
        <f aca="false">B22</f>
        <v>YES</v>
      </c>
      <c r="C57" s="70" t="s">
        <v>161</v>
      </c>
      <c r="D57" s="27" t="str">
        <f aca="false">IF(B22="YES","PASS","FAIL")</f>
        <v>PASS</v>
      </c>
      <c r="E57" s="10" t="s">
        <v>409</v>
      </c>
      <c r="F57" s="10"/>
    </row>
    <row r="58" customFormat="false" ht="39.75" hidden="false" customHeight="true" outlineLevel="0" collapsed="false">
      <c r="A58" s="5" t="s">
        <v>410</v>
      </c>
      <c r="B58" s="70" t="str">
        <f aca="false">B52</f>
        <v>Life_and_Progress_Assistance_Programme_Tel</v>
      </c>
      <c r="C58" s="70" t="s">
        <v>411</v>
      </c>
      <c r="D58" s="27" t="str">
        <f aca="false">IF(B52="None","FAIL","PASS")</f>
        <v>PASS</v>
      </c>
      <c r="E58" s="10" t="s">
        <v>412</v>
      </c>
      <c r="F58" s="10"/>
    </row>
    <row r="59" customFormat="false" ht="39.75" hidden="false" customHeight="true" outlineLevel="0" collapsed="false">
      <c r="A59" s="5" t="s">
        <v>413</v>
      </c>
      <c r="B59" s="70" t="n">
        <f aca="false">IF(B53="","",B53-B54)</f>
        <v>25</v>
      </c>
      <c r="C59" s="70" t="n">
        <f aca="false">B27</f>
        <v>15</v>
      </c>
      <c r="D59" s="27" t="str">
        <f aca="false">IF(B53="","FAIL",IF(B53-B54&gt;=B27,"PASS","FAIL"))</f>
        <v>PASS</v>
      </c>
      <c r="E59" s="71" t="s">
        <v>414</v>
      </c>
      <c r="F59" s="71"/>
    </row>
    <row r="60" customFormat="false" ht="39.75" hidden="false" customHeight="true" outlineLevel="0" collapsed="false">
      <c r="A60" s="5" t="s">
        <v>415</v>
      </c>
      <c r="B60" s="70" t="n">
        <f aca="false">B34</f>
        <v>900</v>
      </c>
      <c r="C60" s="70" t="n">
        <f aca="false">B28</f>
        <v>300</v>
      </c>
      <c r="D60" s="27" t="str">
        <f aca="false">IF(B34&gt;=B28,"PASS","FAIL")</f>
        <v>PASS</v>
      </c>
      <c r="E60" s="71" t="s">
        <v>414</v>
      </c>
      <c r="F60" s="71"/>
    </row>
    <row r="61" customFormat="false" ht="39.75" hidden="false" customHeight="true" outlineLevel="0" collapsed="false">
      <c r="A61" s="5" t="s">
        <v>416</v>
      </c>
      <c r="B61" s="70" t="n">
        <f aca="false">B38-1</f>
        <v>4</v>
      </c>
      <c r="C61" s="70" t="n">
        <f aca="false">B29</f>
        <v>2</v>
      </c>
      <c r="D61" s="27" t="str">
        <f aca="false">IF(B38-1&gt;=B29,"PASS","FAIL")</f>
        <v>PASS</v>
      </c>
      <c r="E61" s="71" t="s">
        <v>414</v>
      </c>
      <c r="F61" s="71"/>
    </row>
    <row r="62" customFormat="false" ht="39.75" hidden="false" customHeight="true" outlineLevel="0" collapsed="false">
      <c r="A62" s="5" t="s">
        <v>417</v>
      </c>
      <c r="B62" s="70" t="n">
        <f aca="false">B35+1</f>
        <v>1</v>
      </c>
      <c r="C62" s="70" t="n">
        <f aca="false">ROUNDDOWN(B36*MIN(B31,INDEX('Priority Framework'!$C$84:$C$88,MATCH(B37,'Priority Framework'!$A$84:$A$88,0))),0)</f>
        <v>1</v>
      </c>
      <c r="D62" s="27" t="str">
        <f aca="false">IF(B35+1&lt;=C62,"PASS","FAIL")</f>
        <v>PASS</v>
      </c>
      <c r="E62" s="10" t="s">
        <v>418</v>
      </c>
      <c r="F62" s="10"/>
    </row>
    <row r="63" customFormat="false" ht="39.75" hidden="false" customHeight="true" outlineLevel="0" collapsed="false">
      <c r="A63" s="5" t="s">
        <v>419</v>
      </c>
      <c r="B63" s="70" t="n">
        <f aca="false">B39</f>
        <v>3</v>
      </c>
      <c r="C63" s="70" t="n">
        <f aca="false">B30</f>
        <v>2</v>
      </c>
      <c r="D63" s="27" t="str">
        <f aca="false">IF(B39&gt;=B30,"PASS","FAIL")</f>
        <v>PASS</v>
      </c>
      <c r="E63" s="71" t="s">
        <v>414</v>
      </c>
      <c r="F63" s="71"/>
    </row>
    <row r="65" customFormat="false" ht="27.75" hidden="false" customHeight="true" outlineLevel="0" collapsed="false">
      <c r="A65" s="72" t="s">
        <v>420</v>
      </c>
      <c r="B65" s="73" t="str">
        <f aca="false">IF(COUNTIF(D57:D63,"FAIL")=0,"MOVE to "&amp;B52,"REMAIN")</f>
        <v>MOVE to Life_and_Progress_Assistance_Programme_Tel</v>
      </c>
      <c r="C65" s="73"/>
      <c r="D65" s="73"/>
    </row>
    <row r="66" customFormat="false" ht="30" hidden="false" customHeight="true" outlineLevel="0" collapsed="false">
      <c r="A66" s="25" t="s">
        <v>421</v>
      </c>
      <c r="B66" s="6" t="str">
        <f aca="false">IF(COUNTIF(D57:D63,"FAIL")=0,"All checks passed - target is the highest-priority eligible queue under pressure","Blocked by check: "&amp;INDEX(A57:A63,MATCH("FAIL",D57:D63,0)))</f>
        <v>All checks passed - target is the highest-priority eligible queue under pressure</v>
      </c>
      <c r="C66" s="6"/>
      <c r="D66" s="6"/>
      <c r="E66" s="6"/>
      <c r="F66" s="6"/>
    </row>
    <row r="67" customFormat="false" ht="15.75" hidden="false" customHeight="true" outlineLevel="0" collapsed="false">
      <c r="A67" s="29" t="s">
        <v>422</v>
      </c>
      <c r="B67" s="29"/>
      <c r="C67" s="29"/>
      <c r="D67" s="29"/>
      <c r="E67" s="29"/>
      <c r="F67" s="29"/>
      <c r="G67" s="29"/>
      <c r="H67" s="29"/>
      <c r="I67" s="29"/>
      <c r="J67" s="29"/>
      <c r="K67" s="29"/>
      <c r="L67" s="29"/>
      <c r="M67" s="29"/>
      <c r="N67" s="29"/>
      <c r="O67" s="29"/>
      <c r="P67" s="29"/>
      <c r="Q67" s="29"/>
    </row>
    <row r="69" customFormat="false" ht="19.5" hidden="false" customHeight="true" outlineLevel="0" collapsed="false">
      <c r="A69" s="18" t="s">
        <v>423</v>
      </c>
      <c r="B69" s="18"/>
      <c r="C69" s="18"/>
      <c r="D69" s="18"/>
      <c r="E69" s="18"/>
      <c r="F69" s="18"/>
      <c r="G69" s="18"/>
      <c r="H69" s="18"/>
      <c r="I69" s="18"/>
      <c r="J69" s="18"/>
      <c r="K69" s="18"/>
      <c r="L69" s="18"/>
      <c r="M69" s="18"/>
      <c r="N69" s="18"/>
      <c r="O69" s="18"/>
      <c r="P69" s="18"/>
      <c r="Q69" s="18"/>
    </row>
    <row r="70" customFormat="false" ht="28.5" hidden="false" customHeight="true" outlineLevel="0" collapsed="false">
      <c r="A70" s="17" t="s">
        <v>424</v>
      </c>
      <c r="B70" s="17"/>
      <c r="C70" s="17"/>
      <c r="D70" s="17"/>
      <c r="E70" s="17"/>
      <c r="F70" s="17"/>
      <c r="G70" s="17"/>
      <c r="H70" s="17"/>
      <c r="I70" s="17"/>
      <c r="J70" s="17"/>
      <c r="K70" s="17"/>
      <c r="L70" s="17"/>
      <c r="M70" s="17"/>
      <c r="N70" s="17"/>
      <c r="O70" s="17"/>
      <c r="P70" s="17"/>
      <c r="Q70" s="17"/>
    </row>
    <row r="71" customFormat="false" ht="15.75" hidden="false" customHeight="true" outlineLevel="0" collapsed="false">
      <c r="A71" s="17" t="s">
        <v>425</v>
      </c>
      <c r="B71" s="17"/>
      <c r="C71" s="17"/>
      <c r="D71" s="17"/>
      <c r="E71" s="17"/>
      <c r="F71" s="17"/>
      <c r="G71" s="17"/>
      <c r="H71" s="17"/>
      <c r="I71" s="17"/>
      <c r="J71" s="17"/>
      <c r="K71" s="17"/>
      <c r="L71" s="17"/>
      <c r="M71" s="17"/>
      <c r="N71" s="17"/>
      <c r="O71" s="17"/>
      <c r="P71" s="17"/>
      <c r="Q71" s="17"/>
    </row>
    <row r="72" customFormat="false" ht="15.75" hidden="false" customHeight="true" outlineLevel="0" collapsed="false">
      <c r="A72" s="17" t="s">
        <v>426</v>
      </c>
      <c r="B72" s="17"/>
      <c r="C72" s="17"/>
      <c r="D72" s="17"/>
      <c r="E72" s="17"/>
      <c r="F72" s="17"/>
      <c r="G72" s="17"/>
      <c r="H72" s="17"/>
      <c r="I72" s="17"/>
      <c r="J72" s="17"/>
      <c r="K72" s="17"/>
      <c r="L72" s="17"/>
      <c r="M72" s="17"/>
      <c r="N72" s="17"/>
      <c r="O72" s="17"/>
      <c r="P72" s="17"/>
      <c r="Q72" s="17"/>
    </row>
    <row r="73" customFormat="false" ht="28.5" hidden="false" customHeight="true" outlineLevel="0" collapsed="false">
      <c r="A73" s="17" t="s">
        <v>427</v>
      </c>
      <c r="B73" s="17"/>
      <c r="C73" s="17"/>
      <c r="D73" s="17"/>
      <c r="E73" s="17"/>
      <c r="F73" s="17"/>
      <c r="G73" s="17"/>
      <c r="H73" s="17"/>
      <c r="I73" s="17"/>
      <c r="J73" s="17"/>
      <c r="K73" s="17"/>
      <c r="L73" s="17"/>
      <c r="M73" s="17"/>
      <c r="N73" s="17"/>
      <c r="O73" s="17"/>
      <c r="P73" s="17"/>
      <c r="Q73" s="17"/>
    </row>
  </sheetData>
  <mergeCells count="29">
    <mergeCell ref="A2:Q2"/>
    <mergeCell ref="A3:Q3"/>
    <mergeCell ref="A5:Q5"/>
    <mergeCell ref="A16:Q16"/>
    <mergeCell ref="A18:Q18"/>
    <mergeCell ref="A19:Q19"/>
    <mergeCell ref="D26:F26"/>
    <mergeCell ref="D27:F27"/>
    <mergeCell ref="D28:F28"/>
    <mergeCell ref="D29:F29"/>
    <mergeCell ref="D30:F30"/>
    <mergeCell ref="D31:F31"/>
    <mergeCell ref="A50:Q50"/>
    <mergeCell ref="E56:F56"/>
    <mergeCell ref="E57:F57"/>
    <mergeCell ref="E58:F58"/>
    <mergeCell ref="E59:F59"/>
    <mergeCell ref="E60:F60"/>
    <mergeCell ref="E61:F61"/>
    <mergeCell ref="E62:F62"/>
    <mergeCell ref="E63:F63"/>
    <mergeCell ref="B65:D65"/>
    <mergeCell ref="B66:F66"/>
    <mergeCell ref="A67:Q67"/>
    <mergeCell ref="A69:Q69"/>
    <mergeCell ref="A70:Q70"/>
    <mergeCell ref="A71:Q71"/>
    <mergeCell ref="A72:Q72"/>
    <mergeCell ref="A73:Q73"/>
  </mergeCells>
  <conditionalFormatting sqref="I42:I49">
    <cfRule type="expression" priority="2" aboveAverage="0" equalAverage="0" bottom="0" percent="0" rank="0" text="" dxfId="6">
      <formula>ISNUMBER($I42)</formula>
    </cfRule>
  </conditionalFormatting>
  <conditionalFormatting sqref="D57:D63">
    <cfRule type="expression" priority="3" aboveAverage="0" equalAverage="0" bottom="0" percent="0" rank="0" text="" dxfId="7">
      <formula>$D57="PASS"</formula>
    </cfRule>
    <cfRule type="expression" priority="4" aboveAverage="0" equalAverage="0" bottom="0" percent="0" rank="0" text="" dxfId="8">
      <formula>$D57="FAIL"</formula>
    </cfRule>
  </conditionalFormatting>
  <dataValidations count="6">
    <dataValidation allowBlank="false" errorStyle="stop" operator="between" showDropDown="false" showErrorMessage="false" showInputMessage="false" sqref="C7:C15" type="list">
      <formula1>'Priority Framework'!$A$6:$A$10</formula1>
      <formula2>0</formula2>
    </dataValidation>
    <dataValidation allowBlank="false" errorStyle="stop" operator="between" showDropDown="false" showErrorMessage="false" showInputMessage="false" sqref="D7:D15" type="list">
      <formula1>'Priority Framework'!$A$16:$A$20</formula1>
      <formula2>0</formula2>
    </dataValidation>
    <dataValidation allowBlank="false" errorStyle="stop" operator="between" showDropDown="false" showErrorMessage="false" showInputMessage="false" sqref="E7:E15" type="list">
      <formula1>'Priority Framework'!$A$24:$A$28</formula1>
      <formula2>0</formula2>
    </dataValidation>
    <dataValidation allowBlank="false" errorStyle="stop" operator="between" showDropDown="false" showErrorMessage="false" showInputMessage="false" sqref="F7:F15" type="list">
      <formula1>'Priority Framework'!$A$32:$A$36</formula1>
      <formula2>0</formula2>
    </dataValidation>
    <dataValidation allowBlank="false" errorStyle="stop" operator="between" showDropDown="false" showErrorMessage="false" showInputMessage="false" sqref="B23" type="list">
      <formula1>$A$7:$A$14</formula1>
      <formula2>0</formula2>
    </dataValidation>
    <dataValidation allowBlank="false" errorStyle="stop" operator="between" showDropDown="false" showErrorMessage="false" showInputMessage="false" sqref="B37" type="list">
      <formula1>'Priority Framework'!$A$84:$A$88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7" min="3" style="0" width="12"/>
    <col collapsed="false" customWidth="true" hidden="false" outlineLevel="0" max="9" min="8" style="0" width="14"/>
    <col collapsed="false" customWidth="true" hidden="false" outlineLevel="0" max="10" min="10" style="0" width="12"/>
    <col collapsed="false" customWidth="true" hidden="false" outlineLevel="0" max="11" min="11" style="0" width="14"/>
  </cols>
  <sheetData>
    <row r="1" customFormat="false" ht="24" hidden="false" customHeight="true" outlineLevel="0" collapsed="false">
      <c r="A1" s="1" t="s">
        <v>428</v>
      </c>
    </row>
    <row r="2" customFormat="false" ht="30" hidden="false" customHeight="true" outlineLevel="0" collapsed="false">
      <c r="A2" s="2" t="s">
        <v>429</v>
      </c>
      <c r="B2" s="2"/>
      <c r="C2" s="2"/>
      <c r="D2" s="2"/>
      <c r="E2" s="2"/>
      <c r="F2" s="2"/>
      <c r="G2" s="2"/>
      <c r="H2" s="2"/>
      <c r="I2" s="2"/>
      <c r="J2" s="2"/>
      <c r="K2" s="2"/>
    </row>
    <row r="4" customFormat="false" ht="19.5" hidden="false" customHeight="true" outlineLevel="0" collapsed="false">
      <c r="A4" s="3" t="s">
        <v>430</v>
      </c>
      <c r="B4" s="3"/>
      <c r="C4" s="3"/>
      <c r="D4" s="3"/>
      <c r="E4" s="3"/>
      <c r="F4" s="3"/>
      <c r="G4" s="3"/>
      <c r="H4" s="3"/>
      <c r="I4" s="3"/>
      <c r="J4" s="3"/>
      <c r="K4" s="3"/>
    </row>
    <row r="5" customFormat="false" ht="31.5" hidden="false" customHeight="true" outlineLevel="0" collapsed="false">
      <c r="A5" s="4" t="s">
        <v>197</v>
      </c>
      <c r="B5" s="4" t="s">
        <v>157</v>
      </c>
      <c r="C5" s="4" t="s">
        <v>431</v>
      </c>
      <c r="D5" s="4" t="s">
        <v>432</v>
      </c>
      <c r="E5" s="4" t="s">
        <v>433</v>
      </c>
      <c r="F5" s="4" t="s">
        <v>434</v>
      </c>
      <c r="G5" s="4" t="s">
        <v>435</v>
      </c>
      <c r="H5" s="4" t="s">
        <v>436</v>
      </c>
      <c r="I5" s="4" t="s">
        <v>437</v>
      </c>
      <c r="J5" s="4" t="s">
        <v>112</v>
      </c>
    </row>
    <row r="6" customFormat="false" ht="15" hidden="false" customHeight="false" outlineLevel="0" collapsed="false">
      <c r="A6" s="25" t="s">
        <v>132</v>
      </c>
      <c r="B6" s="10" t="s">
        <v>438</v>
      </c>
      <c r="C6" s="74" t="n">
        <v>1</v>
      </c>
      <c r="D6" s="74" t="n">
        <v>415122</v>
      </c>
      <c r="E6" s="74" t="n">
        <v>0</v>
      </c>
      <c r="F6" s="74" t="n">
        <v>0</v>
      </c>
      <c r="G6" s="33" t="n">
        <v>61.83</v>
      </c>
      <c r="H6" s="61" t="n">
        <f aca="false">ROUND(IF(C6&lt;=0,0,(MIN(C6/'Demand Pressure'!$C$6,1)*'Demand Pressure'!$E$6+MIN(D6/'Demand Pressure'!$C$7,1)*'Demand Pressure'!$E$7+IF(F6&lt;=0,1,MAX(0,MIN(1,1-E6/F6)))*'Demand Pressure'!$E$8+MIN(C6*'Demand Pressure'!$C$13/'Demand Pressure'!$C$9,1)*'Demand Pressure'!$E$9)/'Demand Pressure'!$E$10*'Demand Pressure'!$C$15),2)</f>
        <v>61.83</v>
      </c>
      <c r="I6" s="50" t="n">
        <f aca="false">H6-G6</f>
        <v>0</v>
      </c>
      <c r="J6" s="27" t="str">
        <f aca="false">IF(ABS(I6)&lt;=0.05,"Ties","DIFFERS")</f>
        <v>Ties</v>
      </c>
    </row>
    <row r="7" customFormat="false" ht="28.5" hidden="false" customHeight="true" outlineLevel="0" collapsed="false">
      <c r="A7" s="29" t="s">
        <v>439</v>
      </c>
      <c r="B7" s="29"/>
      <c r="C7" s="29"/>
      <c r="D7" s="29"/>
      <c r="E7" s="29"/>
      <c r="F7" s="29"/>
      <c r="G7" s="29"/>
      <c r="H7" s="29"/>
      <c r="I7" s="29"/>
      <c r="J7" s="29"/>
      <c r="K7" s="29"/>
    </row>
    <row r="9" customFormat="false" ht="19.5" hidden="false" customHeight="true" outlineLevel="0" collapsed="false">
      <c r="A9" s="3" t="s">
        <v>440</v>
      </c>
      <c r="B9" s="3"/>
      <c r="C9" s="3"/>
      <c r="D9" s="3"/>
      <c r="E9" s="3"/>
      <c r="F9" s="3"/>
      <c r="G9" s="3"/>
      <c r="H9" s="3"/>
      <c r="I9" s="3"/>
      <c r="J9" s="3"/>
      <c r="K9" s="3"/>
    </row>
    <row r="10" customFormat="false" ht="31.5" hidden="false" customHeight="true" outlineLevel="0" collapsed="false">
      <c r="A10" s="4" t="s">
        <v>197</v>
      </c>
      <c r="B10" s="4" t="s">
        <v>441</v>
      </c>
      <c r="C10" s="4" t="s">
        <v>431</v>
      </c>
      <c r="D10" s="4" t="s">
        <v>432</v>
      </c>
      <c r="E10" s="4" t="s">
        <v>433</v>
      </c>
      <c r="F10" s="4" t="s">
        <v>434</v>
      </c>
      <c r="G10" s="4" t="s">
        <v>442</v>
      </c>
      <c r="H10" s="4" t="s">
        <v>436</v>
      </c>
      <c r="I10" s="4" t="s">
        <v>437</v>
      </c>
      <c r="J10" s="4" t="s">
        <v>112</v>
      </c>
    </row>
    <row r="11" customFormat="false" ht="15" hidden="false" customHeight="false" outlineLevel="0" collapsed="false">
      <c r="A11" s="10" t="s">
        <v>137</v>
      </c>
      <c r="B11" s="10" t="s">
        <v>443</v>
      </c>
      <c r="C11" s="74" t="n">
        <v>24</v>
      </c>
      <c r="D11" s="74" t="n">
        <v>492</v>
      </c>
      <c r="E11" s="74" t="n">
        <v>0</v>
      </c>
      <c r="F11" s="74" t="n">
        <v>9</v>
      </c>
      <c r="G11" s="75" t="n">
        <v>100</v>
      </c>
      <c r="H11" s="76" t="n">
        <f aca="false">ROUND(IF(C11&lt;=0,0,(MIN(C11/'Demand Pressure'!$C$6,1)*'Demand Pressure'!$E$6+MIN(D11/'Demand Pressure'!$C$7,1)*'Demand Pressure'!$E$7+IF(F11&lt;=0,1,MAX(0,MIN(1,1-E11/F11)))*'Demand Pressure'!$E$8+MIN(C11*'Demand Pressure'!$C$13/'Demand Pressure'!$C$9,1)*'Demand Pressure'!$E$9)/'Demand Pressure'!$E$10*'Demand Pressure'!$C$15),2)</f>
        <v>100</v>
      </c>
      <c r="I11" s="77" t="n">
        <f aca="false">H11-G11</f>
        <v>0</v>
      </c>
      <c r="J11" s="27" t="str">
        <f aca="false">IF(ABS(I11)&lt;=0.1,"Ties","DIFFERS")</f>
        <v>Ties</v>
      </c>
    </row>
    <row r="12" customFormat="false" ht="15" hidden="false" customHeight="false" outlineLevel="0" collapsed="false">
      <c r="A12" s="10" t="s">
        <v>212</v>
      </c>
      <c r="B12" s="10" t="s">
        <v>443</v>
      </c>
      <c r="C12" s="74" t="n">
        <v>26</v>
      </c>
      <c r="D12" s="74" t="n">
        <v>540</v>
      </c>
      <c r="E12" s="74" t="n">
        <v>1</v>
      </c>
      <c r="F12" s="74" t="n">
        <v>12</v>
      </c>
      <c r="G12" s="75" t="n">
        <v>98.3</v>
      </c>
      <c r="H12" s="76" t="n">
        <f aca="false">ROUND(IF(C12&lt;=0,0,(MIN(C12/'Demand Pressure'!$C$6,1)*'Demand Pressure'!$E$6+MIN(D12/'Demand Pressure'!$C$7,1)*'Demand Pressure'!$E$7+IF(F12&lt;=0,1,MAX(0,MIN(1,1-E12/F12)))*'Demand Pressure'!$E$8+MIN(C12*'Demand Pressure'!$C$13/'Demand Pressure'!$C$9,1)*'Demand Pressure'!$E$9)/'Demand Pressure'!$E$10*'Demand Pressure'!$C$15),2)</f>
        <v>98.33</v>
      </c>
      <c r="I12" s="77" t="n">
        <f aca="false">H12-G12</f>
        <v>0.0300000000000011</v>
      </c>
      <c r="J12" s="27" t="str">
        <f aca="false">IF(ABS(I12)&lt;=0.1,"Ties","DIFFERS")</f>
        <v>Ties</v>
      </c>
    </row>
    <row r="13" customFormat="false" ht="15" hidden="false" customHeight="false" outlineLevel="0" collapsed="false">
      <c r="A13" s="10" t="s">
        <v>135</v>
      </c>
      <c r="B13" s="10" t="s">
        <v>443</v>
      </c>
      <c r="C13" s="74" t="n">
        <v>19</v>
      </c>
      <c r="D13" s="74" t="n">
        <v>392</v>
      </c>
      <c r="E13" s="74" t="n">
        <v>1</v>
      </c>
      <c r="F13" s="74" t="n">
        <v>14</v>
      </c>
      <c r="G13" s="75" t="n">
        <v>90.4</v>
      </c>
      <c r="H13" s="76" t="n">
        <f aca="false">ROUND(IF(C13&lt;=0,0,(MIN(C13/'Demand Pressure'!$C$6,1)*'Demand Pressure'!$E$6+MIN(D13/'Demand Pressure'!$C$7,1)*'Demand Pressure'!$E$7+IF(F13&lt;=0,1,MAX(0,MIN(1,1-E13/F13)))*'Demand Pressure'!$E$8+MIN(C13*'Demand Pressure'!$C$13/'Demand Pressure'!$C$9,1)*'Demand Pressure'!$E$9)/'Demand Pressure'!$E$10*'Demand Pressure'!$C$15),2)</f>
        <v>98.57</v>
      </c>
      <c r="I13" s="77" t="n">
        <f aca="false">H13-G13</f>
        <v>8.16999999999999</v>
      </c>
      <c r="J13" s="27" t="str">
        <f aca="false">IF(ABS(I13)&lt;=0.1,"Ties","DIFFERS")</f>
        <v>DIFFERS</v>
      </c>
    </row>
    <row r="14" customFormat="false" ht="15" hidden="false" customHeight="false" outlineLevel="0" collapsed="false">
      <c r="A14" s="10" t="s">
        <v>444</v>
      </c>
      <c r="B14" s="10" t="s">
        <v>443</v>
      </c>
      <c r="C14" s="74" t="n">
        <v>16</v>
      </c>
      <c r="D14" s="74" t="n">
        <v>327</v>
      </c>
      <c r="E14" s="74" t="n">
        <v>1</v>
      </c>
      <c r="F14" s="74" t="n">
        <v>10</v>
      </c>
      <c r="G14" s="75" t="n">
        <v>78.3</v>
      </c>
      <c r="H14" s="76" t="n">
        <f aca="false">ROUND(IF(C14&lt;=0,0,(MIN(C14/'Demand Pressure'!$C$6,1)*'Demand Pressure'!$E$6+MIN(D14/'Demand Pressure'!$C$7,1)*'Demand Pressure'!$E$7+IF(F14&lt;=0,1,MAX(0,MIN(1,1-E14/F14)))*'Demand Pressure'!$E$8+MIN(C14*'Demand Pressure'!$C$13/'Demand Pressure'!$C$9,1)*'Demand Pressure'!$E$9)/'Demand Pressure'!$E$10*'Demand Pressure'!$C$15),2)</f>
        <v>98</v>
      </c>
      <c r="I14" s="77" t="n">
        <f aca="false">H14-G14</f>
        <v>19.7</v>
      </c>
      <c r="J14" s="27" t="str">
        <f aca="false">IF(ABS(I14)&lt;=0.1,"Ties","DIFFERS")</f>
        <v>DIFFERS</v>
      </c>
    </row>
    <row r="15" customFormat="false" ht="15" hidden="false" customHeight="false" outlineLevel="0" collapsed="false">
      <c r="A15" s="10" t="s">
        <v>445</v>
      </c>
      <c r="B15" s="10" t="s">
        <v>443</v>
      </c>
      <c r="C15" s="74" t="n">
        <v>8</v>
      </c>
      <c r="D15" s="74" t="n">
        <v>164</v>
      </c>
      <c r="E15" s="74" t="n">
        <v>3</v>
      </c>
      <c r="F15" s="74" t="n">
        <v>13</v>
      </c>
      <c r="G15" s="75" t="n">
        <v>45.6</v>
      </c>
      <c r="H15" s="76" t="n">
        <f aca="false">ROUND(IF(C15&lt;=0,0,(MIN(C15/'Demand Pressure'!$C$6,1)*'Demand Pressure'!$E$6+MIN(D15/'Demand Pressure'!$C$7,1)*'Demand Pressure'!$E$7+IF(F15&lt;=0,1,MAX(0,MIN(1,1-E15/F15)))*'Demand Pressure'!$E$8+MIN(C15*'Demand Pressure'!$C$13/'Demand Pressure'!$C$9,1)*'Demand Pressure'!$E$9)/'Demand Pressure'!$E$10*'Demand Pressure'!$C$15),2)</f>
        <v>72.52</v>
      </c>
      <c r="I15" s="77" t="n">
        <f aca="false">H15-G15</f>
        <v>26.92</v>
      </c>
      <c r="J15" s="27" t="str">
        <f aca="false">IF(ABS(I15)&lt;=0.1,"Ties","DIFFERS")</f>
        <v>DIFFERS</v>
      </c>
    </row>
    <row r="16" customFormat="false" ht="15" hidden="false" customHeight="false" outlineLevel="0" collapsed="false">
      <c r="A16" s="10" t="s">
        <v>204</v>
      </c>
      <c r="B16" s="10" t="s">
        <v>443</v>
      </c>
      <c r="C16" s="74" t="n">
        <v>6</v>
      </c>
      <c r="D16" s="74" t="n">
        <v>122</v>
      </c>
      <c r="E16" s="74" t="n">
        <v>3</v>
      </c>
      <c r="F16" s="74" t="n">
        <v>11</v>
      </c>
      <c r="G16" s="75" t="n">
        <v>37.1</v>
      </c>
      <c r="H16" s="76" t="n">
        <f aca="false">ROUND(IF(C16&lt;=0,0,(MIN(C16/'Demand Pressure'!$C$6,1)*'Demand Pressure'!$E$6+MIN(D16/'Demand Pressure'!$C$7,1)*'Demand Pressure'!$E$7+IF(F16&lt;=0,1,MAX(0,MIN(1,1-E16/F16)))*'Demand Pressure'!$E$8+MIN(C16*'Demand Pressure'!$C$13/'Demand Pressure'!$C$9,1)*'Demand Pressure'!$E$9)/'Demand Pressure'!$E$10*'Demand Pressure'!$C$15),2)</f>
        <v>59.78</v>
      </c>
      <c r="I16" s="77" t="n">
        <f aca="false">H16-G16</f>
        <v>22.68</v>
      </c>
      <c r="J16" s="27" t="str">
        <f aca="false">IF(ABS(I16)&lt;=0.1,"Ties","DIFFERS")</f>
        <v>DIFFERS</v>
      </c>
    </row>
    <row r="17" customFormat="false" ht="15" hidden="false" customHeight="false" outlineLevel="0" collapsed="false">
      <c r="A17" s="10" t="s">
        <v>446</v>
      </c>
      <c r="B17" s="10" t="s">
        <v>443</v>
      </c>
      <c r="C17" s="74" t="n">
        <v>4</v>
      </c>
      <c r="D17" s="74" t="n">
        <v>84</v>
      </c>
      <c r="E17" s="74" t="n">
        <v>3</v>
      </c>
      <c r="F17" s="74" t="n">
        <v>7</v>
      </c>
      <c r="G17" s="75" t="n">
        <v>26.7</v>
      </c>
      <c r="H17" s="76" t="n">
        <f aca="false">ROUND(IF(C17&lt;=0,0,(MIN(C17/'Demand Pressure'!$C$6,1)*'Demand Pressure'!$E$6+MIN(D17/'Demand Pressure'!$C$7,1)*'Demand Pressure'!$E$7+IF(F17&lt;=0,1,MAX(0,MIN(1,1-E17/F17)))*'Demand Pressure'!$E$8+MIN(C17*'Demand Pressure'!$C$13/'Demand Pressure'!$C$9,1)*'Demand Pressure'!$E$9)/'Demand Pressure'!$E$10*'Demand Pressure'!$C$15),2)</f>
        <v>45.23</v>
      </c>
      <c r="I17" s="77" t="n">
        <f aca="false">H17-G17</f>
        <v>18.53</v>
      </c>
      <c r="J17" s="27" t="str">
        <f aca="false">IF(ABS(I17)&lt;=0.1,"Ties","DIFFERS")</f>
        <v>DIFFERS</v>
      </c>
    </row>
    <row r="18" customFormat="false" ht="15" hidden="false" customHeight="false" outlineLevel="0" collapsed="false">
      <c r="A18" s="10" t="s">
        <v>447</v>
      </c>
      <c r="B18" s="10" t="s">
        <v>443</v>
      </c>
      <c r="C18" s="74" t="n">
        <v>3</v>
      </c>
      <c r="D18" s="74" t="n">
        <v>69</v>
      </c>
      <c r="E18" s="74" t="n">
        <v>2</v>
      </c>
      <c r="F18" s="74" t="n">
        <v>6</v>
      </c>
      <c r="G18" s="75" t="n">
        <v>25.2</v>
      </c>
      <c r="H18" s="76" t="n">
        <f aca="false">ROUND(IF(C18&lt;=0,0,(MIN(C18/'Demand Pressure'!$C$6,1)*'Demand Pressure'!$E$6+MIN(D18/'Demand Pressure'!$C$7,1)*'Demand Pressure'!$E$7+IF(F18&lt;=0,1,MAX(0,MIN(1,1-E18/F18)))*'Demand Pressure'!$E$8+MIN(C18*'Demand Pressure'!$C$13/'Demand Pressure'!$C$9,1)*'Demand Pressure'!$E$9)/'Demand Pressure'!$E$10*'Demand Pressure'!$C$15),2)</f>
        <v>41.88</v>
      </c>
      <c r="I18" s="77" t="n">
        <f aca="false">H18-G18</f>
        <v>16.68</v>
      </c>
      <c r="J18" s="27" t="str">
        <f aca="false">IF(ABS(I18)&lt;=0.1,"Ties","DIFFERS")</f>
        <v>DIFFERS</v>
      </c>
    </row>
    <row r="19" customFormat="false" ht="15" hidden="false" customHeight="false" outlineLevel="0" collapsed="false">
      <c r="A19" s="10" t="s">
        <v>448</v>
      </c>
      <c r="B19" s="10" t="s">
        <v>443</v>
      </c>
      <c r="C19" s="74" t="n">
        <v>3</v>
      </c>
      <c r="D19" s="74" t="n">
        <v>69</v>
      </c>
      <c r="E19" s="74" t="n">
        <v>3</v>
      </c>
      <c r="F19" s="74" t="n">
        <v>8</v>
      </c>
      <c r="G19" s="75" t="n">
        <v>24.4</v>
      </c>
      <c r="H19" s="76" t="n">
        <f aca="false">ROUND(IF(C19&lt;=0,0,(MIN(C19/'Demand Pressure'!$C$6,1)*'Demand Pressure'!$E$6+MIN(D19/'Demand Pressure'!$C$7,1)*'Demand Pressure'!$E$7+IF(F19&lt;=0,1,MAX(0,MIN(1,1-E19/F19)))*'Demand Pressure'!$E$8+MIN(C19*'Demand Pressure'!$C$13/'Demand Pressure'!$C$9,1)*'Demand Pressure'!$E$9)/'Demand Pressure'!$E$10*'Demand Pressure'!$C$15),2)</f>
        <v>41.05</v>
      </c>
      <c r="I19" s="77" t="n">
        <f aca="false">H19-G19</f>
        <v>16.65</v>
      </c>
      <c r="J19" s="27" t="str">
        <f aca="false">IF(ABS(I19)&lt;=0.1,"Ties","DIFFERS")</f>
        <v>DIFFERS</v>
      </c>
    </row>
    <row r="20" customFormat="false" ht="15" hidden="false" customHeight="false" outlineLevel="0" collapsed="false">
      <c r="A20" s="10" t="s">
        <v>135</v>
      </c>
      <c r="B20" s="10" t="s">
        <v>449</v>
      </c>
      <c r="C20" s="74" t="n">
        <v>25</v>
      </c>
      <c r="D20" s="74" t="n">
        <v>527</v>
      </c>
      <c r="E20" s="74" t="n">
        <v>1</v>
      </c>
      <c r="F20" s="74" t="n">
        <v>14</v>
      </c>
      <c r="G20" s="75" t="n">
        <v>98.6</v>
      </c>
      <c r="H20" s="76" t="n">
        <f aca="false">ROUND(IF(C20&lt;=0,0,(MIN(C20/'Demand Pressure'!$C$6,1)*'Demand Pressure'!$E$6+MIN(D20/'Demand Pressure'!$C$7,1)*'Demand Pressure'!$E$7+IF(F20&lt;=0,1,MAX(0,MIN(1,1-E20/F20)))*'Demand Pressure'!$E$8+MIN(C20*'Demand Pressure'!$C$13/'Demand Pressure'!$C$9,1)*'Demand Pressure'!$E$9)/'Demand Pressure'!$E$10*'Demand Pressure'!$C$15),2)</f>
        <v>98.57</v>
      </c>
      <c r="I20" s="77" t="n">
        <f aca="false">H20-G20</f>
        <v>-0.0300000000000011</v>
      </c>
      <c r="J20" s="27" t="str">
        <f aca="false">IF(ABS(I20)&lt;=0.1,"Ties","DIFFERS")</f>
        <v>Ties</v>
      </c>
    </row>
    <row r="21" customFormat="false" ht="15" hidden="false" customHeight="false" outlineLevel="0" collapsed="false">
      <c r="A21" s="10" t="s">
        <v>445</v>
      </c>
      <c r="B21" s="10" t="s">
        <v>449</v>
      </c>
      <c r="C21" s="74" t="n">
        <v>20</v>
      </c>
      <c r="D21" s="74" t="n">
        <v>408</v>
      </c>
      <c r="E21" s="74" t="n">
        <v>1</v>
      </c>
      <c r="F21" s="74" t="n">
        <v>13</v>
      </c>
      <c r="G21" s="75" t="n">
        <v>93.2</v>
      </c>
      <c r="H21" s="76" t="n">
        <f aca="false">ROUND(IF(C21&lt;=0,0,(MIN(C21/'Demand Pressure'!$C$6,1)*'Demand Pressure'!$E$6+MIN(D21/'Demand Pressure'!$C$7,1)*'Demand Pressure'!$E$7+IF(F21&lt;=0,1,MAX(0,MIN(1,1-E21/F21)))*'Demand Pressure'!$E$8+MIN(C21*'Demand Pressure'!$C$13/'Demand Pressure'!$C$9,1)*'Demand Pressure'!$E$9)/'Demand Pressure'!$E$10*'Demand Pressure'!$C$15),2)</f>
        <v>98.46</v>
      </c>
      <c r="I21" s="77" t="n">
        <f aca="false">H21-G21</f>
        <v>5.25999999999999</v>
      </c>
      <c r="J21" s="27" t="str">
        <f aca="false">IF(ABS(I21)&lt;=0.1,"Ties","DIFFERS")</f>
        <v>DIFFERS</v>
      </c>
    </row>
    <row r="22" customFormat="false" ht="15" hidden="false" customHeight="false" outlineLevel="0" collapsed="false">
      <c r="A22" s="10" t="s">
        <v>212</v>
      </c>
      <c r="B22" s="10" t="s">
        <v>449</v>
      </c>
      <c r="C22" s="74" t="n">
        <v>11</v>
      </c>
      <c r="D22" s="74" t="n">
        <v>219</v>
      </c>
      <c r="E22" s="74" t="n">
        <v>2</v>
      </c>
      <c r="F22" s="74" t="n">
        <v>12</v>
      </c>
      <c r="G22" s="75" t="n">
        <v>57.7</v>
      </c>
      <c r="H22" s="76" t="n">
        <f aca="false">ROUND(IF(C22&lt;=0,0,(MIN(C22/'Demand Pressure'!$C$6,1)*'Demand Pressure'!$E$6+MIN(D22/'Demand Pressure'!$C$7,1)*'Demand Pressure'!$E$7+IF(F22&lt;=0,1,MAX(0,MIN(1,1-E22/F22)))*'Demand Pressure'!$E$8+MIN(C22*'Demand Pressure'!$C$13/'Demand Pressure'!$C$9,1)*'Demand Pressure'!$E$9)/'Demand Pressure'!$E$10*'Demand Pressure'!$C$15),2)</f>
        <v>87.22</v>
      </c>
      <c r="I22" s="77" t="n">
        <f aca="false">H22-G22</f>
        <v>29.52</v>
      </c>
      <c r="J22" s="27" t="str">
        <f aca="false">IF(ABS(I22)&lt;=0.1,"Ties","DIFFERS")</f>
        <v>DIFFERS</v>
      </c>
    </row>
    <row r="23" customFormat="false" ht="15" hidden="false" customHeight="false" outlineLevel="0" collapsed="false">
      <c r="A23" s="10" t="s">
        <v>204</v>
      </c>
      <c r="B23" s="10" t="s">
        <v>449</v>
      </c>
      <c r="C23" s="74" t="n">
        <v>10</v>
      </c>
      <c r="D23" s="74" t="n">
        <v>210</v>
      </c>
      <c r="E23" s="74" t="n">
        <v>2</v>
      </c>
      <c r="F23" s="74" t="n">
        <v>11</v>
      </c>
      <c r="G23" s="75" t="n">
        <v>54.5</v>
      </c>
      <c r="H23" s="76" t="n">
        <f aca="false">ROUND(IF(C23&lt;=0,0,(MIN(C23/'Demand Pressure'!$C$6,1)*'Demand Pressure'!$E$6+MIN(D23/'Demand Pressure'!$C$7,1)*'Demand Pressure'!$E$7+IF(F23&lt;=0,1,MAX(0,MIN(1,1-E23/F23)))*'Demand Pressure'!$E$8+MIN(C23*'Demand Pressure'!$C$13/'Demand Pressure'!$C$9,1)*'Demand Pressure'!$E$9)/'Demand Pressure'!$E$10*'Demand Pressure'!$C$15),2)</f>
        <v>85.86</v>
      </c>
      <c r="I23" s="77" t="n">
        <f aca="false">H23-G23</f>
        <v>31.36</v>
      </c>
      <c r="J23" s="27" t="str">
        <f aca="false">IF(ABS(I23)&lt;=0.1,"Ties","DIFFERS")</f>
        <v>DIFFERS</v>
      </c>
    </row>
    <row r="24" customFormat="false" ht="15" hidden="false" customHeight="false" outlineLevel="0" collapsed="false">
      <c r="A24" s="10" t="s">
        <v>137</v>
      </c>
      <c r="B24" s="10" t="s">
        <v>449</v>
      </c>
      <c r="C24" s="74" t="n">
        <v>10</v>
      </c>
      <c r="D24" s="74" t="n">
        <v>198</v>
      </c>
      <c r="E24" s="74" t="n">
        <v>2</v>
      </c>
      <c r="F24" s="74" t="n">
        <v>9</v>
      </c>
      <c r="G24" s="75" t="n">
        <v>52.8</v>
      </c>
      <c r="H24" s="76" t="n">
        <f aca="false">ROUND(IF(C24&lt;=0,0,(MIN(C24/'Demand Pressure'!$C$6,1)*'Demand Pressure'!$E$6+MIN(D24/'Demand Pressure'!$C$7,1)*'Demand Pressure'!$E$7+IF(F24&lt;=0,1,MAX(0,MIN(1,1-E24/F24)))*'Demand Pressure'!$E$8+MIN(C24*'Demand Pressure'!$C$13/'Demand Pressure'!$C$9,1)*'Demand Pressure'!$E$9)/'Demand Pressure'!$E$10*'Demand Pressure'!$C$15),2)</f>
        <v>83.66</v>
      </c>
      <c r="I24" s="77" t="n">
        <f aca="false">H24-G24</f>
        <v>30.86</v>
      </c>
      <c r="J24" s="27" t="str">
        <f aca="false">IF(ABS(I24)&lt;=0.1,"Ties","DIFFERS")</f>
        <v>DIFFERS</v>
      </c>
    </row>
    <row r="25" customFormat="false" ht="15" hidden="false" customHeight="false" outlineLevel="0" collapsed="false">
      <c r="A25" s="10" t="s">
        <v>448</v>
      </c>
      <c r="B25" s="10" t="s">
        <v>449</v>
      </c>
      <c r="C25" s="74" t="n">
        <v>9</v>
      </c>
      <c r="D25" s="74" t="n">
        <v>183</v>
      </c>
      <c r="E25" s="74" t="n">
        <v>2</v>
      </c>
      <c r="F25" s="74" t="n">
        <v>8</v>
      </c>
      <c r="G25" s="75" t="n">
        <v>48.8</v>
      </c>
      <c r="H25" s="76" t="n">
        <f aca="false">ROUND(IF(C25&lt;=0,0,(MIN(C25/'Demand Pressure'!$C$6,1)*'Demand Pressure'!$E$6+MIN(D25/'Demand Pressure'!$C$7,1)*'Demand Pressure'!$E$7+IF(F25&lt;=0,1,MAX(0,MIN(1,1-E25/F25)))*'Demand Pressure'!$E$8+MIN(C25*'Demand Pressure'!$C$13/'Demand Pressure'!$C$9,1)*'Demand Pressure'!$E$9)/'Demand Pressure'!$E$10*'Demand Pressure'!$C$15),2)</f>
        <v>77.85</v>
      </c>
      <c r="I25" s="77" t="n">
        <f aca="false">H25-G25</f>
        <v>29.05</v>
      </c>
      <c r="J25" s="27" t="str">
        <f aca="false">IF(ABS(I25)&lt;=0.1,"Ties","DIFFERS")</f>
        <v>DIFFERS</v>
      </c>
    </row>
    <row r="26" customFormat="false" ht="15" hidden="false" customHeight="false" outlineLevel="0" collapsed="false">
      <c r="A26" s="25" t="s">
        <v>450</v>
      </c>
      <c r="C26" s="27" t="n">
        <f aca="false">COUNTIF(J11:J25,"Ties")</f>
        <v>3</v>
      </c>
    </row>
    <row r="27" customFormat="false" ht="15" hidden="false" customHeight="false" outlineLevel="0" collapsed="false">
      <c r="A27" s="25" t="s">
        <v>451</v>
      </c>
      <c r="C27" s="27" t="n">
        <f aca="false">COUNTIF(J11:J25,"DIFFERS")</f>
        <v>12</v>
      </c>
    </row>
    <row r="28" customFormat="false" ht="54.75" hidden="false" customHeight="true" outlineLevel="0" collapsed="false">
      <c r="A28" s="78" t="s">
        <v>452</v>
      </c>
      <c r="B28" s="78"/>
      <c r="C28" s="78"/>
      <c r="D28" s="78"/>
      <c r="E28" s="78"/>
      <c r="F28" s="78"/>
      <c r="G28" s="78"/>
      <c r="H28" s="78"/>
      <c r="I28" s="78"/>
      <c r="J28" s="78"/>
      <c r="K28" s="78"/>
    </row>
    <row r="30" customFormat="false" ht="19.5" hidden="false" customHeight="true" outlineLevel="0" collapsed="false">
      <c r="A30" s="3" t="s">
        <v>453</v>
      </c>
      <c r="B30" s="3"/>
      <c r="C30" s="3"/>
      <c r="D30" s="3"/>
      <c r="E30" s="3"/>
      <c r="F30" s="3"/>
      <c r="G30" s="3"/>
      <c r="H30" s="3"/>
      <c r="I30" s="3"/>
      <c r="J30" s="3"/>
      <c r="K30" s="3"/>
    </row>
    <row r="31" customFormat="false" ht="15" hidden="false" customHeight="false" outlineLevel="0" collapsed="false">
      <c r="A31" s="25" t="s">
        <v>454</v>
      </c>
      <c r="C31" s="64" t="n">
        <f aca="false">COUNTIF('Supply Calculation'!N7:N15,"Ties")</f>
        <v>8</v>
      </c>
      <c r="D31" s="39" t="s">
        <v>455</v>
      </c>
    </row>
    <row r="32" customFormat="false" ht="15" hidden="false" customHeight="false" outlineLevel="0" collapsed="false">
      <c r="A32" s="25" t="s">
        <v>456</v>
      </c>
      <c r="C32" s="79" t="s">
        <v>457</v>
      </c>
      <c r="D32" s="39" t="s">
        <v>458</v>
      </c>
    </row>
    <row r="33" customFormat="false" ht="28.5" hidden="false" customHeight="true" outlineLevel="0" collapsed="false">
      <c r="A33" s="29" t="s">
        <v>459</v>
      </c>
      <c r="B33" s="29"/>
      <c r="C33" s="29"/>
      <c r="D33" s="29"/>
      <c r="E33" s="29"/>
      <c r="F33" s="29"/>
      <c r="G33" s="29"/>
      <c r="H33" s="29"/>
      <c r="I33" s="29"/>
      <c r="J33" s="29"/>
      <c r="K33" s="29"/>
    </row>
  </sheetData>
  <mergeCells count="7">
    <mergeCell ref="A2:K2"/>
    <mergeCell ref="A4:K4"/>
    <mergeCell ref="A7:K7"/>
    <mergeCell ref="A9:K9"/>
    <mergeCell ref="A28:K28"/>
    <mergeCell ref="A30:K30"/>
    <mergeCell ref="A33:K33"/>
  </mergeCells>
  <conditionalFormatting sqref="J6:J25">
    <cfRule type="expression" priority="2" aboveAverage="0" equalAverage="0" bottom="0" percent="0" rank="0" text="" dxfId="0">
      <formula>J6="DIFFERS"</formula>
    </cfRule>
    <cfRule type="expression" priority="3" aboveAverage="0" equalAverage="0" bottom="0" percent="0" rank="0" text="" dxfId="4">
      <formula>J6="Ties"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0"/>
    <col collapsed="false" customWidth="true" hidden="false" outlineLevel="0" max="4" min="4" style="0" width="42"/>
    <col collapsed="false" customWidth="true" hidden="false" outlineLevel="0" max="5" min="5" style="0" width="52"/>
    <col collapsed="false" customWidth="true" hidden="false" outlineLevel="0" max="6" min="6" style="0" width="20"/>
  </cols>
  <sheetData>
    <row r="1" customFormat="false" ht="24" hidden="false" customHeight="true" outlineLevel="0" collapsed="false">
      <c r="A1" s="1" t="s">
        <v>460</v>
      </c>
    </row>
    <row r="2" customFormat="false" ht="30" hidden="false" customHeight="true" outlineLevel="0" collapsed="false">
      <c r="A2" s="2" t="s">
        <v>461</v>
      </c>
      <c r="B2" s="2"/>
      <c r="C2" s="2"/>
      <c r="D2" s="2"/>
      <c r="E2" s="2"/>
      <c r="F2" s="2"/>
    </row>
    <row r="4" customFormat="false" ht="19.5" hidden="false" customHeight="true" outlineLevel="0" collapsed="false">
      <c r="A4" s="3" t="s">
        <v>462</v>
      </c>
      <c r="B4" s="3"/>
      <c r="C4" s="3"/>
      <c r="D4" s="3"/>
      <c r="E4" s="3"/>
      <c r="F4" s="3"/>
    </row>
    <row r="5" customFormat="false" ht="24" hidden="false" customHeight="true" outlineLevel="0" collapsed="false">
      <c r="A5" s="4" t="s">
        <v>463</v>
      </c>
      <c r="B5" s="4" t="s">
        <v>464</v>
      </c>
      <c r="C5" s="4" t="s">
        <v>73</v>
      </c>
      <c r="D5" s="4" t="s">
        <v>465</v>
      </c>
      <c r="E5" s="4" t="s">
        <v>157</v>
      </c>
      <c r="F5" s="4" t="s">
        <v>5</v>
      </c>
    </row>
    <row r="6" customFormat="false" ht="42" hidden="false" customHeight="true" outlineLevel="0" collapsed="false">
      <c r="A6" s="39" t="n">
        <v>1</v>
      </c>
      <c r="B6" s="5" t="s">
        <v>466</v>
      </c>
      <c r="C6" s="70" t="s">
        <v>467</v>
      </c>
      <c r="D6" s="6" t="s">
        <v>7</v>
      </c>
      <c r="E6" s="6" t="s">
        <v>468</v>
      </c>
      <c r="F6" s="80" t="s">
        <v>59</v>
      </c>
    </row>
    <row r="7" customFormat="false" ht="42" hidden="false" customHeight="true" outlineLevel="0" collapsed="false">
      <c r="A7" s="39" t="n">
        <v>2</v>
      </c>
      <c r="B7" s="5" t="s">
        <v>469</v>
      </c>
      <c r="C7" s="70" t="s">
        <v>470</v>
      </c>
      <c r="D7" s="6" t="s">
        <v>7</v>
      </c>
      <c r="E7" s="6" t="s">
        <v>471</v>
      </c>
      <c r="F7" s="80" t="s">
        <v>59</v>
      </c>
    </row>
    <row r="8" customFormat="false" ht="42" hidden="false" customHeight="true" outlineLevel="0" collapsed="false">
      <c r="A8" s="39" t="n">
        <v>3</v>
      </c>
      <c r="B8" s="5" t="s">
        <v>472</v>
      </c>
      <c r="C8" s="70" t="s">
        <v>473</v>
      </c>
      <c r="D8" s="6" t="s">
        <v>7</v>
      </c>
      <c r="E8" s="6" t="s">
        <v>474</v>
      </c>
      <c r="F8" s="80" t="s">
        <v>59</v>
      </c>
    </row>
    <row r="9" customFormat="false" ht="42" hidden="false" customHeight="true" outlineLevel="0" collapsed="false">
      <c r="A9" s="39" t="n">
        <v>4</v>
      </c>
      <c r="B9" s="5" t="s">
        <v>76</v>
      </c>
      <c r="C9" s="70" t="s">
        <v>475</v>
      </c>
      <c r="D9" s="6" t="s">
        <v>7</v>
      </c>
      <c r="E9" s="6" t="s">
        <v>476</v>
      </c>
      <c r="F9" s="80" t="s">
        <v>59</v>
      </c>
    </row>
    <row r="10" customFormat="false" ht="42" hidden="false" customHeight="true" outlineLevel="0" collapsed="false">
      <c r="A10" s="39" t="n">
        <v>5</v>
      </c>
      <c r="B10" s="5" t="s">
        <v>477</v>
      </c>
      <c r="C10" s="70" t="s">
        <v>478</v>
      </c>
      <c r="D10" s="6" t="s">
        <v>7</v>
      </c>
      <c r="E10" s="6" t="s">
        <v>479</v>
      </c>
      <c r="F10" s="80" t="s">
        <v>59</v>
      </c>
    </row>
    <row r="11" customFormat="false" ht="42" hidden="false" customHeight="true" outlineLevel="0" collapsed="false">
      <c r="A11" s="39" t="n">
        <v>6</v>
      </c>
      <c r="B11" s="5" t="s">
        <v>480</v>
      </c>
      <c r="C11" s="70" t="s">
        <v>139</v>
      </c>
      <c r="D11" s="6" t="s">
        <v>7</v>
      </c>
      <c r="E11" s="6" t="s">
        <v>481</v>
      </c>
      <c r="F11" s="81" t="s">
        <v>482</v>
      </c>
    </row>
    <row r="12" customFormat="false" ht="42" hidden="false" customHeight="true" outlineLevel="0" collapsed="false">
      <c r="A12" s="39" t="n">
        <v>7</v>
      </c>
      <c r="B12" s="5" t="s">
        <v>483</v>
      </c>
      <c r="C12" s="70" t="s">
        <v>139</v>
      </c>
      <c r="D12" s="6" t="s">
        <v>7</v>
      </c>
      <c r="E12" s="6" t="s">
        <v>484</v>
      </c>
      <c r="F12" s="81" t="s">
        <v>482</v>
      </c>
    </row>
    <row r="13" customFormat="false" ht="42" hidden="false" customHeight="true" outlineLevel="0" collapsed="false">
      <c r="A13" s="39" t="n">
        <v>8</v>
      </c>
      <c r="B13" s="5" t="s">
        <v>485</v>
      </c>
      <c r="C13" s="70" t="s">
        <v>486</v>
      </c>
      <c r="D13" s="6" t="s">
        <v>11</v>
      </c>
      <c r="E13" s="6" t="s">
        <v>487</v>
      </c>
      <c r="F13" s="42" t="s">
        <v>488</v>
      </c>
    </row>
    <row r="14" customFormat="false" ht="42" hidden="false" customHeight="true" outlineLevel="0" collapsed="false">
      <c r="A14" s="39" t="n">
        <v>9</v>
      </c>
      <c r="B14" s="5" t="s">
        <v>489</v>
      </c>
      <c r="C14" s="70" t="s">
        <v>490</v>
      </c>
      <c r="D14" s="6" t="s">
        <v>491</v>
      </c>
      <c r="E14" s="6" t="s">
        <v>492</v>
      </c>
      <c r="F14" s="42" t="s">
        <v>488</v>
      </c>
    </row>
    <row r="15" customFormat="false" ht="42" hidden="false" customHeight="true" outlineLevel="0" collapsed="false">
      <c r="A15" s="39" t="n">
        <v>10</v>
      </c>
      <c r="B15" s="5" t="s">
        <v>493</v>
      </c>
      <c r="C15" s="70" t="s">
        <v>494</v>
      </c>
      <c r="D15" s="6" t="s">
        <v>491</v>
      </c>
      <c r="E15" s="6" t="s">
        <v>492</v>
      </c>
      <c r="F15" s="42" t="s">
        <v>488</v>
      </c>
    </row>
    <row r="16" customFormat="false" ht="42" hidden="false" customHeight="true" outlineLevel="0" collapsed="false">
      <c r="A16" s="39" t="n">
        <v>11</v>
      </c>
      <c r="B16" s="5" t="s">
        <v>495</v>
      </c>
      <c r="C16" s="70" t="s">
        <v>496</v>
      </c>
      <c r="D16" s="6" t="s">
        <v>491</v>
      </c>
      <c r="E16" s="6" t="s">
        <v>497</v>
      </c>
      <c r="F16" s="42" t="s">
        <v>488</v>
      </c>
    </row>
    <row r="17" customFormat="false" ht="42" hidden="false" customHeight="true" outlineLevel="0" collapsed="false">
      <c r="A17" s="39" t="n">
        <v>12</v>
      </c>
      <c r="B17" s="5" t="s">
        <v>498</v>
      </c>
      <c r="C17" s="70" t="s">
        <v>139</v>
      </c>
      <c r="D17" s="6" t="s">
        <v>499</v>
      </c>
      <c r="E17" s="6" t="s">
        <v>500</v>
      </c>
      <c r="F17" s="42" t="s">
        <v>488</v>
      </c>
    </row>
    <row r="18" customFormat="false" ht="42" hidden="false" customHeight="true" outlineLevel="0" collapsed="false">
      <c r="A18" s="39" t="n">
        <v>13</v>
      </c>
      <c r="B18" s="5" t="s">
        <v>501</v>
      </c>
      <c r="C18" s="70" t="s">
        <v>502</v>
      </c>
      <c r="D18" s="6" t="s">
        <v>503</v>
      </c>
      <c r="E18" s="6" t="s">
        <v>504</v>
      </c>
      <c r="F18" s="82" t="s">
        <v>505</v>
      </c>
    </row>
    <row r="19" customFormat="false" ht="42" hidden="false" customHeight="true" outlineLevel="0" collapsed="false">
      <c r="A19" s="39" t="n">
        <v>14</v>
      </c>
      <c r="B19" s="5" t="s">
        <v>506</v>
      </c>
      <c r="C19" s="70" t="s">
        <v>507</v>
      </c>
      <c r="D19" s="6" t="s">
        <v>503</v>
      </c>
      <c r="E19" s="6" t="s">
        <v>508</v>
      </c>
      <c r="F19" s="82" t="s">
        <v>505</v>
      </c>
    </row>
    <row r="20" customFormat="false" ht="42" hidden="false" customHeight="true" outlineLevel="0" collapsed="false">
      <c r="A20" s="39" t="n">
        <v>15</v>
      </c>
      <c r="B20" s="5" t="s">
        <v>509</v>
      </c>
      <c r="C20" s="70" t="s">
        <v>510</v>
      </c>
      <c r="D20" s="6" t="s">
        <v>503</v>
      </c>
      <c r="E20" s="6" t="s">
        <v>511</v>
      </c>
      <c r="F20" s="42" t="s">
        <v>488</v>
      </c>
    </row>
    <row r="21" customFormat="false" ht="42" hidden="false" customHeight="true" outlineLevel="0" collapsed="false">
      <c r="A21" s="39" t="n">
        <v>16</v>
      </c>
      <c r="B21" s="5" t="s">
        <v>512</v>
      </c>
      <c r="C21" s="70" t="s">
        <v>510</v>
      </c>
      <c r="D21" s="6" t="s">
        <v>503</v>
      </c>
      <c r="E21" s="6" t="s">
        <v>513</v>
      </c>
      <c r="F21" s="82" t="s">
        <v>505</v>
      </c>
    </row>
    <row r="24" customFormat="false" ht="19.5" hidden="false" customHeight="true" outlineLevel="0" collapsed="false">
      <c r="A24" s="3" t="s">
        <v>514</v>
      </c>
      <c r="B24" s="3"/>
      <c r="C24" s="3"/>
      <c r="D24" s="3"/>
      <c r="E24" s="3"/>
      <c r="F24" s="3"/>
    </row>
    <row r="25" customFormat="false" ht="24" hidden="false" customHeight="true" outlineLevel="0" collapsed="false">
      <c r="A25" s="4" t="s">
        <v>463</v>
      </c>
      <c r="B25" s="4" t="s">
        <v>464</v>
      </c>
      <c r="C25" s="4" t="s">
        <v>515</v>
      </c>
      <c r="D25" s="4" t="s">
        <v>516</v>
      </c>
      <c r="E25" s="4" t="s">
        <v>517</v>
      </c>
      <c r="F25" s="4" t="s">
        <v>518</v>
      </c>
    </row>
    <row r="26" customFormat="false" ht="55.5" hidden="false" customHeight="true" outlineLevel="0" collapsed="false">
      <c r="A26" s="39" t="n">
        <v>1</v>
      </c>
      <c r="B26" s="5" t="s">
        <v>519</v>
      </c>
      <c r="C26" s="70" t="s">
        <v>520</v>
      </c>
      <c r="D26" s="6" t="s">
        <v>521</v>
      </c>
      <c r="E26" s="6" t="s">
        <v>522</v>
      </c>
      <c r="F26" s="27" t="s">
        <v>523</v>
      </c>
    </row>
    <row r="27" customFormat="false" ht="55.5" hidden="false" customHeight="true" outlineLevel="0" collapsed="false">
      <c r="A27" s="39" t="n">
        <v>2</v>
      </c>
      <c r="B27" s="5" t="s">
        <v>524</v>
      </c>
      <c r="C27" s="70" t="s">
        <v>525</v>
      </c>
      <c r="D27" s="6" t="s">
        <v>526</v>
      </c>
      <c r="E27" s="6" t="s">
        <v>527</v>
      </c>
      <c r="F27" s="27" t="s">
        <v>523</v>
      </c>
    </row>
    <row r="28" customFormat="false" ht="55.5" hidden="false" customHeight="true" outlineLevel="0" collapsed="false">
      <c r="A28" s="39" t="n">
        <v>3</v>
      </c>
      <c r="B28" s="5" t="s">
        <v>528</v>
      </c>
      <c r="C28" s="70" t="s">
        <v>529</v>
      </c>
      <c r="D28" s="6" t="s">
        <v>530</v>
      </c>
      <c r="E28" s="6" t="s">
        <v>531</v>
      </c>
      <c r="F28" s="27" t="s">
        <v>532</v>
      </c>
    </row>
    <row r="29" customFormat="false" ht="55.5" hidden="false" customHeight="true" outlineLevel="0" collapsed="false">
      <c r="A29" s="39" t="n">
        <v>4</v>
      </c>
      <c r="B29" s="5" t="s">
        <v>533</v>
      </c>
      <c r="C29" s="70" t="s">
        <v>534</v>
      </c>
      <c r="D29" s="6" t="s">
        <v>535</v>
      </c>
      <c r="E29" s="6" t="s">
        <v>536</v>
      </c>
      <c r="F29" s="27" t="s">
        <v>532</v>
      </c>
    </row>
    <row r="30" customFormat="false" ht="55.5" hidden="false" customHeight="true" outlineLevel="0" collapsed="false">
      <c r="A30" s="39" t="n">
        <v>5</v>
      </c>
      <c r="B30" s="5" t="s">
        <v>537</v>
      </c>
      <c r="C30" s="70" t="s">
        <v>538</v>
      </c>
      <c r="D30" s="6" t="s">
        <v>539</v>
      </c>
      <c r="E30" s="6" t="s">
        <v>540</v>
      </c>
      <c r="F30" s="27" t="s">
        <v>523</v>
      </c>
    </row>
    <row r="31" customFormat="false" ht="55.5" hidden="false" customHeight="true" outlineLevel="0" collapsed="false">
      <c r="A31" s="39" t="n">
        <v>6</v>
      </c>
      <c r="B31" s="5" t="s">
        <v>541</v>
      </c>
      <c r="C31" s="70" t="s">
        <v>520</v>
      </c>
      <c r="D31" s="6" t="s">
        <v>542</v>
      </c>
      <c r="E31" s="6" t="s">
        <v>543</v>
      </c>
      <c r="F31" s="27" t="s">
        <v>523</v>
      </c>
    </row>
    <row r="32" customFormat="false" ht="55.5" hidden="false" customHeight="true" outlineLevel="0" collapsed="false">
      <c r="A32" s="39" t="n">
        <v>7</v>
      </c>
      <c r="B32" s="5" t="s">
        <v>544</v>
      </c>
      <c r="C32" s="70" t="s">
        <v>538</v>
      </c>
      <c r="D32" s="6" t="s">
        <v>545</v>
      </c>
      <c r="E32" s="6" t="s">
        <v>546</v>
      </c>
      <c r="F32" s="27" t="s">
        <v>523</v>
      </c>
    </row>
    <row r="33" customFormat="false" ht="55.5" hidden="false" customHeight="true" outlineLevel="0" collapsed="false">
      <c r="A33" s="39" t="n">
        <v>8</v>
      </c>
      <c r="B33" s="5" t="s">
        <v>547</v>
      </c>
      <c r="C33" s="70" t="s">
        <v>538</v>
      </c>
      <c r="D33" s="6" t="s">
        <v>548</v>
      </c>
      <c r="E33" s="6" t="s">
        <v>549</v>
      </c>
      <c r="F33" s="27" t="s">
        <v>523</v>
      </c>
    </row>
    <row r="34" customFormat="false" ht="55.5" hidden="false" customHeight="true" outlineLevel="0" collapsed="false">
      <c r="A34" s="39" t="n">
        <v>9</v>
      </c>
      <c r="B34" s="5" t="s">
        <v>550</v>
      </c>
      <c r="C34" s="70" t="s">
        <v>538</v>
      </c>
      <c r="D34" s="6" t="s">
        <v>551</v>
      </c>
      <c r="E34" s="6" t="s">
        <v>552</v>
      </c>
      <c r="F34" s="27" t="s">
        <v>532</v>
      </c>
    </row>
    <row r="35" customFormat="false" ht="55.5" hidden="false" customHeight="true" outlineLevel="0" collapsed="false">
      <c r="A35" s="39" t="n">
        <v>10</v>
      </c>
      <c r="B35" s="5" t="s">
        <v>553</v>
      </c>
      <c r="C35" s="70" t="s">
        <v>554</v>
      </c>
      <c r="D35" s="6" t="s">
        <v>555</v>
      </c>
      <c r="E35" s="6" t="s">
        <v>491</v>
      </c>
      <c r="F35" s="27" t="s">
        <v>556</v>
      </c>
    </row>
    <row r="36" customFormat="false" ht="55.5" hidden="false" customHeight="true" outlineLevel="0" collapsed="false">
      <c r="A36" s="39" t="n">
        <v>11</v>
      </c>
      <c r="B36" s="5" t="s">
        <v>557</v>
      </c>
      <c r="C36" s="70" t="s">
        <v>520</v>
      </c>
      <c r="D36" s="6" t="s">
        <v>558</v>
      </c>
      <c r="E36" s="6" t="s">
        <v>559</v>
      </c>
      <c r="F36" s="27" t="s">
        <v>523</v>
      </c>
    </row>
    <row r="37" customFormat="false" ht="55.5" hidden="false" customHeight="true" outlineLevel="0" collapsed="false">
      <c r="A37" s="39" t="n">
        <v>12</v>
      </c>
      <c r="B37" s="5" t="s">
        <v>560</v>
      </c>
      <c r="C37" s="70" t="s">
        <v>534</v>
      </c>
      <c r="D37" s="6" t="s">
        <v>561</v>
      </c>
      <c r="E37" s="6" t="s">
        <v>562</v>
      </c>
      <c r="F37" s="27" t="s">
        <v>556</v>
      </c>
    </row>
    <row r="38" customFormat="false" ht="55.5" hidden="false" customHeight="true" outlineLevel="0" collapsed="false">
      <c r="A38" s="39" t="n">
        <v>13</v>
      </c>
      <c r="B38" s="5" t="s">
        <v>563</v>
      </c>
      <c r="C38" s="70" t="s">
        <v>538</v>
      </c>
      <c r="D38" s="6" t="s">
        <v>564</v>
      </c>
      <c r="E38" s="6" t="s">
        <v>565</v>
      </c>
      <c r="F38" s="27" t="s">
        <v>566</v>
      </c>
    </row>
  </sheetData>
  <mergeCells count="3">
    <mergeCell ref="A2:F2"/>
    <mergeCell ref="A4:F4"/>
    <mergeCell ref="A24:F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2026-09-28T05:41:08Z</dcterms:created>
  <dc:creator>openpyxl</dc:creator>
  <dc:description/>
  <dc:language>en-US</dc:language>
  <cp:lastModifiedBy/>
  <dcterms:modified xsi:type="dcterms:W3CDTF">2026-09-28T05:41:08Z</dcterms:modified>
  <cp:revision>0</cp:revision>
  <dc:subject/>
  <dc:title>Management Console Phase 2 - Calculation Framework</dc:title>
</cp:coreProperties>
</file>

<file path=docProps/custom.xml><?xml version="1.0" encoding="utf-8"?>
<Properties xmlns="http://schemas.openxmlformats.org/officeDocument/2006/custom-properties" xmlns:vt="http://schemas.openxmlformats.org/officeDocument/2006/docPropsVTypes"/>
</file>