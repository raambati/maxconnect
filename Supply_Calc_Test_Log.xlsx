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st Log" sheetId="2" state="visible" r:id="rId4"/>
    <sheet name="Gemma Scenarios" sheetId="3" state="visible" r:id="rId5"/>
    <sheet name="Findings &amp; Actions" sheetId="4" state="visible" r:id="rId6"/>
  </sheets>
  <definedNames>
    <definedName function="false" hidden="true" localSheetId="3" name="_xlnm._FilterDatabase" vbProcedure="false">'Findings &amp; Actions'!$A$1:$F$15</definedName>
    <definedName function="false" hidden="true" localSheetId="2" name="_xlnm._FilterDatabase" vbProcedure="false">'Gemma Scenarios'!$A$1:$H$16</definedName>
    <definedName function="false" hidden="true" localSheetId="1" name="_xlnm._FilterDatabase" vbProcedure="false">'Test Log'!$A$1:$L$23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<sst xmlns="http://schemas.openxmlformats.org/spreadsheetml/2006/main" count="519" uniqueCount="367">
  <si>
    <t xml:space="preserve">Supply Calculation Lambda - test log and results</t>
  </si>
  <si>
    <t xml:space="preserve">Shadow mode only: nothing acts on live. Times are UTC. Lambda: supply_calc (dev), test agent gemma.shepherd on Mind (354ed575).</t>
  </si>
  <si>
    <t xml:space="preserve">Headline</t>
  </si>
  <si>
    <t xml:space="preserve">- The Lambda runs end to end: agent lookup, eligible queues on other instances, queue-state matching, priority ranking and guard rails all work against real dev data.</t>
  </si>
  <si>
    <t xml:space="preserve">- No MOVE has been produced yet. Every run that found a ranked candidate stopped at 'Home team is configured' because the Mind team config item is not in mc-dev-config (F1).</t>
  </si>
  <si>
    <t xml:space="preserve">- Real gaps found: arbitrary order on ties (F3), chat queues treated as voice (F4), duplicate queue names (F5), queues without a score (F6), and an untested 20-second freshness limit (F7).</t>
  </si>
  <si>
    <t xml:space="preserve">Test runs by result</t>
  </si>
  <si>
    <t xml:space="preserve">Gemma's 15 scenarios: testable now?</t>
  </si>
  <si>
    <t xml:space="preserve">PASS</t>
  </si>
  <si>
    <t xml:space="preserve">Yes</t>
  </si>
  <si>
    <t xml:space="preserve">BLOCKED</t>
  </si>
  <si>
    <t xml:space="preserve">Partly</t>
  </si>
  <si>
    <t xml:space="preserve">PARTIAL</t>
  </si>
  <si>
    <t xml:space="preserve">No</t>
  </si>
  <si>
    <t xml:space="preserve">RE-RUN NEEDED</t>
  </si>
  <si>
    <t xml:space="preserve">Total scenarios</t>
  </si>
  <si>
    <t xml:space="preserve">NO RESPONSE</t>
  </si>
  <si>
    <t xml:space="preserve">FAIL (fixed)</t>
  </si>
  <si>
    <t xml:space="preserve">Open findings</t>
  </si>
  <si>
    <t xml:space="preserve">NOT RUN</t>
  </si>
  <si>
    <t xml:space="preserve">Closed findings</t>
  </si>
  <si>
    <t xml:space="preserve">Total test entries</t>
  </si>
  <si>
    <t xml:space="preserve">Check: rows in Test Log</t>
  </si>
  <si>
    <t xml:space="preserve">Inputs from Gemma (demand parameters) and how they are applied</t>
  </si>
  <si>
    <t xml:space="preserve">Parameter</t>
  </si>
  <si>
    <t xml:space="preserve">Gemma's answer</t>
  </si>
  <si>
    <t xml:space="preserve">How the Lambda applies it</t>
  </si>
  <si>
    <t xml:space="preserve">Status</t>
  </si>
  <si>
    <t xml:space="preserve">Contacts waiting</t>
  </si>
  <si>
    <t xml:space="preserve">Drop it as a priority</t>
  </si>
  <si>
    <t xml:space="preserve">Kept only as a yes/no check (at least 1 waiting). Not used in ranking.</t>
  </si>
  <si>
    <t xml:space="preserve">Applied</t>
  </si>
  <si>
    <t xml:space="preserve">Oldest contact wait</t>
  </si>
  <si>
    <t xml:space="preserve">Go with highest value first</t>
  </si>
  <si>
    <t xml:space="preserve">Sort order: mandatory priority, then score (high first), then oldest wait (longest first).</t>
  </si>
  <si>
    <t xml:space="preserve">Queue snapshot time</t>
  </si>
  <si>
    <t xml:space="preserve">20 second SLA</t>
  </si>
  <si>
    <t xml:space="preserve">Limit is MAX_QUEUE_STATE_AGE_SECONDS, still 180 s. Not changed until snapshot refresh is measured (F7).</t>
  </si>
  <si>
    <t xml:space="preserve">Pending F7</t>
  </si>
  <si>
    <t xml:space="preserve">Channel</t>
  </si>
  <si>
    <t xml:space="preserve">Voice</t>
  </si>
  <si>
    <t xml:space="preserve">Voice only, but source data tags every queue VOICE (F4).</t>
  </si>
  <si>
    <t xml:space="preserve">Applied, with gap</t>
  </si>
  <si>
    <t xml:space="preserve">Notes</t>
  </si>
  <si>
    <t xml:space="preserve">- Response bodies on 'Test Log' were rebuilt field by field from the outputs the tester pasted, so wording and values match; they are not raw copies of the console.</t>
  </si>
  <si>
    <t xml:space="preserve">- V1 and A2 have no captured body (the email-required message is as reported; A2 hung). C4's time was not captured.</t>
  </si>
  <si>
    <t xml:space="preserve">- S5's list of 81 eligible queues is summarised in the 'What the result means' column rather than repeated in the response cell.</t>
  </si>
  <si>
    <t xml:space="preserve">- The 14 Oct runs (T11, T5) are partial: see 'What the result means' for the repeat steps.</t>
  </si>
  <si>
    <t xml:space="preserve">Test ID</t>
  </si>
  <si>
    <t xml:space="preserve">Run time (UTC)</t>
  </si>
  <si>
    <t xml:space="preserve">Test</t>
  </si>
  <si>
    <t xml:space="preserve">Event payload sent</t>
  </si>
  <si>
    <t xml:space="preserve">Expected</t>
  </si>
  <si>
    <t xml:space="preserve">HTTP</t>
  </si>
  <si>
    <t xml:space="preserve">Decision</t>
  </si>
  <si>
    <t xml:space="preserve">Reason returned</t>
  </si>
  <si>
    <t xml:space="preserve">Result</t>
  </si>
  <si>
    <t xml:space="preserve">What the result means</t>
  </si>
  <si>
    <t xml:space="preserve">Finding ref</t>
  </si>
  <si>
    <t xml:space="preserve">Full response output (body)</t>
  </si>
  <si>
    <t xml:space="preserve">V1</t>
  </si>
  <si>
    <t xml:space="preserve">9 Oct, ~09:00 UTC (approx.)</t>
  </si>
  <si>
    <t xml:space="preserve">Validation: missing email</t>
  </si>
  <si>
    <t xml:space="preserve">{"dryRun": true}  (no email supplied)</t>
  </si>
  <si>
    <t xml:space="preserve">400 - email is required</t>
  </si>
  <si>
    <t xml:space="preserve">400</t>
  </si>
  <si>
    <t xml:space="preserve">n/a</t>
  </si>
  <si>
    <t xml:space="preserve">email is required</t>
  </si>
  <si>
    <t xml:space="preserve">Input validation works: the Lambda refuses a request without an email.</t>
  </si>
  <si>
    <t xml:space="preserve">{"statusCode": 400, "body": "email is required"}  (message as reported by the tester; full body not captured)</t>
  </si>
  <si>
    <t xml:space="preserve">V2</t>
  </si>
  <si>
    <t xml:space="preserve">9 Oct, ~09:04 UTC (approx.)</t>
  </si>
  <si>
    <t xml:space="preserve">Validation: agent on several instances, no instanceId</t>
  </si>
  <si>
    <t xml:space="preserve">{"email": "gemma.shepherd@maximusuk.co.uk", "dryRun": true, "assumeAvailable": true}</t>
  </si>
  <si>
    <t xml:space="preserve">400 - asks for instanceId and lists the agent's instances</t>
  </si>
  <si>
    <t xml:space="preserve">instanceId is required when the agent has records on several instances</t>
  </si>
  <si>
    <t xml:space="preserve">Agent lookup by email works. Gemma has records on five instances, so the home instance must be supplied.</t>
  </si>
  <si>
    <t xml:space="preserve">{"message": "instanceId is required when the agent has records on several instances", "instances": ["354ed575-0151-4fc8-ac36-c4393ef35f8b", "a61e433d-0b3c-46d6-b6cc-2cc9f3f6c6c3", "b5dc33a8-2db8-4d9f-a82c-47f899f56337", "7fe6fe83-4c33-444e-abd8-635388d56324", "decdaa49-797c-4783-ab3f-8fa195bfb6b3"]}</t>
  </si>
  <si>
    <t xml:space="preserve">S1</t>
  </si>
  <si>
    <t xml:space="preserve">9 Oct 09:05:33 UTC</t>
  </si>
  <si>
    <t xml:space="preserve">Smoke test, before queue-ID fix</t>
  </si>
  <si>
    <t xml:space="preserve">{"email": "gemma.shepherd@maximusuk.co.uk", "instanceId": "354ed575-0151-4fc8-ac36-c4393ef35f8b", "dryRun": true, "assumeAvailable": true}</t>
  </si>
  <si>
    <t xml:space="preserve">Queues evaluated against queue-state</t>
  </si>
  <si>
    <t xml:space="preserve">200</t>
  </si>
  <si>
    <t xml:space="preserve">REMAIN</t>
  </si>
  <si>
    <t xml:space="preserve">Blocked by: A ranked candidate queue exists</t>
  </si>
  <si>
    <t xml:space="preserve">All 85 eligible queues returned NO_QUEUE_STATE. Agent-state stores queue ARNs, queue-state is keyed by the bare queue UUID, so no lookup matched. Fixed in supply_calc.py (ARN converted to UUID, agent personal queues skipped).</t>
  </si>
  <si>
    <t xml:space="preserve">F2</t>
  </si>
  <si>
    <t xml:space="preserve">{"decisionId": "53f2a053-b850-4f2c-841f-cd8be83e0b72", "decidedAt": "2026-10-09T09:05:33.676954+00:00", "mode": "SHADOW", "actioned": false, "decision": "REMAIN", "reason": "Blocked by: A ranked candidate queue exists", "email": "gemma.shepherd@maximusuk.co.uk", "currentInstanceId": "354ed575-0151-4fc8-ac36-c4393ef35f8b", "assumedAvailable": true, "target": null, "flexCap": null, "guardRails": [{"check": "Agent is routable", "measured": true, "required": true, "result": "PASS", "note": ""}, {"check": "A ranked candidate queue exists", "measured": null, "required": "any", "result": "FAIL", "note": ""}], "eligibleQueuesConsidered": 85, "excludedSummary": {"NO_QUEUE_STATE": 85}, "candidates": [], "dryRun": true, "logged": false}</t>
  </si>
  <si>
    <t xml:space="preserve">S2</t>
  </si>
  <si>
    <t xml:space="preserve">9 Oct 09:12:00 UTC</t>
  </si>
  <si>
    <t xml:space="preserve">Smoke test, after queue-ID fix</t>
  </si>
  <si>
    <t xml:space="preserve">All queues matched to queue-state; none waiting</t>
  </si>
  <si>
    <t xml:space="preserve">Fix confirmed. 81 queues considered (4 personal agent queues dropped); all matched a queue-state row, all had nobody waiting. A correct REMAIN for a quiet dev environment.</t>
  </si>
  <si>
    <t xml:space="preserve">{"decisionId": "64c4d295-0a80-49ec-ad43-5f87775698c1", "decidedAt": "2026-10-09T09:12:00.166168+00:00", "mode": "SHADOW", "actioned": false, "decision": "REMAIN", "reason": "Blocked by: A ranked candidate queue exists", "email": "gemma.shepherd@maximusuk.co.uk", "currentInstanceId": "354ed575-0151-4fc8-ac36-c4393ef35f8b", "assumedAvailable": true, "target": null, "flexCap": null, "guardRails": [{"check": "Agent is routable", "measured": true, "required": true, "result": "PASS", "note": ""}, {"check": "A ranked candidate queue exists", "measured": null, "required": "any", "result": "FAIL", "note": ""}], "eligibleQueuesConsidered": 81, "excludedSummary": {"NOBODY_WAITING": 81}, "candidates": [], "dryRun": true, "logged": false}</t>
  </si>
  <si>
    <t xml:space="preserve">S3</t>
  </si>
  <si>
    <t xml:space="preserve">9 Oct 09:20:02 UTC</t>
  </si>
  <si>
    <t xml:space="preserve">Repeat smoke test (after Gemma's inputs)</t>
  </si>
  <si>
    <t xml:space="preserve">Same as S2</t>
  </si>
  <si>
    <t xml:space="preserve">Repeatable result; still nobody waiting in any eligible queue.</t>
  </si>
  <si>
    <t xml:space="preserve">{"decisionId": "b57a56fc-55bd-4e84-a4d9-7bb1ca393819", "decidedAt": "2026-10-09T09:20:02.473493+00:00", "mode": "SHADOW", "actioned": false, "decision": "REMAIN", "reason": "Blocked by: A ranked candidate queue exists", "email": "gemma.shepherd@maximusuk.co.uk", "currentInstanceId": "354ed575-0151-4fc8-ac36-c4393ef35f8b", "assumedAvailable": true, "target": null, "flexCap": null, "guardRails": [{"check": "Agent is routable", "measured": true, "required": true, "result": "PASS", "note": ""}, {"check": "A ranked candidate queue exists", "measured": null, "required": "any", "result": "FAIL", "note": ""}], "eligibleQueuesConsidered": 81, "excludedSummary": {"NOBODY_WAITING": 81}, "candidates": [], "dryRun": true, "logged": false}</t>
  </si>
  <si>
    <t xml:space="preserve">S4</t>
  </si>
  <si>
    <t xml:space="preserve">9 Oct 09:37:17 UTC</t>
  </si>
  <si>
    <t xml:space="preserve">First scenario run (template names from the wrong instances)</t>
  </si>
  <si>
    <t xml:space="preserve">{"email": "gemma.shepherd@maximusuk.co.uk", "instanceId": "354ed575-0151-4fc8-ac36-c4393ef35f8b", "dryRun": true, "assumeAvailable": true, "scenario": {"queues": [{"queueName": "Gamstop_Betting_Shops_Tel", "contactsInQueue": 3, "oldestContactAgeSeconds": 240}, {"queueName": "Mind_Support_Tel", "contactsInQueue": 1, "oldestContactAgeSeconds": 600}]}}</t>
  </si>
  <si>
    <t xml:space="preserve">Names not eligible for this agent are reported as unmatched</t>
  </si>
  <si>
    <t xml:space="preserve">Scenario override is deployed. Both names came back unmatched: Gamstop_Betting_Shops_Tel is on GamStop (c0db420f), which is not one of Gemma's five instances, and Mind_Support_Tel is on her home instance (a move always leaves the home instance).</t>
  </si>
  <si>
    <t xml:space="preserve">{"decisionId": "a87aa759-457c-498c-a517-7caeec379ef1", "decidedAt": "2026-10-09T09:37:17.086475+00:00", "mode": "SHADOW", "actioned": false, "decision": "REMAIN", "reason": "Blocked by: A ranked candidate queue exists", "email": "gemma.shepherd@maximusuk.co.uk", "currentInstanceId": "354ed575-0151-4fc8-ac36-c4393ef35f8b", "assumedAvailable": true, "target": null, "flexCap": null, "guardRails": [{"check": "Agent is routable", "measured": true, "required": true, "result": "PASS", "note": ""}, {"check": "A ranked candidate queue exists", "measured": null, "required": "any", "result": "FAIL", "note": ""}], "eligibleQueuesConsidered": 81, "excludedSummary": {"NOBODY_WAITING": 81}, "candidates": [], "dryRun": true, "logged": false, "scenario": {"applied": 0, "unmatched": [{"queueName": "Gamstop_Betting_Shops_Tel", "contactsInQueue": 3, "oldestContactAgeSeconds": 240}, {"queueName": "Mind_Support_Tel", "contactsInQueue": 1, "oldestContactAgeSeconds": 600}]}}</t>
  </si>
  <si>
    <t xml:space="preserve">S5</t>
  </si>
  <si>
    <t xml:space="preserve">9 Oct 09:43:30 UTC</t>
  </si>
  <si>
    <t xml:space="preserve">List eligible queues (helper switch)</t>
  </si>
  <si>
    <t xml:space="preserve">{"email": "gemma.shepherd@maximusuk.co.uk", "instanceId": "354ed575-0151-4fc8-ac36-c4393ef35f8b", "dryRun": true, "assumeAvailable": true, "listEligibleQueues": true}</t>
  </si>
  <si>
    <t xml:space="preserve">Response lists every queue the agent could be moved to</t>
  </si>
  <si>
    <t xml:space="preserve">81 eligible queues: 7 on 7fe6fe83 (Kings Trust), 6 on a61e433d (GamStop Online), 5 on b5dc33a8 (Bureau dev) and 63 on decdaa49. Source for choosing real queue names in later tests.</t>
  </si>
  <si>
    <t xml:space="preserve">{"decisionId": "65ee9f85-e4d4-4e63-9291-8a9fa18b30e2", "decidedAt": "2026-10-09T09:43:30.210715+00:00", "mode": "SHADOW", "actioned": false, "decision": "REMAIN", "reason": "Blocked by: A ranked candidate queue exists", "email": "gemma.shepherd@maximusuk.co.uk", "currentInstanceId": "354ed575-0151-4fc8-ac36-c4393ef35f8b", "assumedAvailable": true, "target": null, "flexCap": null, "guardRails": [{"check": "Agent is routable", "measured": true, "required": true, "result": "PASS", "note": ""}, {"check": "A ranked candidate queue exists", "measured": null, "required": "any", "result": "FAIL", "note": ""}], "eligibleQueuesConsidered": 81, "excludedSummary": {"NOBODY_WAITING": 81}, "candidates": [], "dryRun": true, "logged": false, "eligibleQueues": "[81 entries omitted here: instanceId, queueName, queueId for each queue]"}</t>
  </si>
  <si>
    <t xml:space="preserve">A1</t>
  </si>
  <si>
    <t xml:space="preserve">9 Oct 09:52:57 UTC</t>
  </si>
  <si>
    <t xml:space="preserve">Basic MOVE and ranking</t>
  </si>
  <si>
    <t xml:space="preserve">{"email": "gemma.shepherd@maximusuk.co.uk", "instanceId": "354ed575-0151-4fc8-ac36-c4393ef35f8b", "dryRun": true, "assumeAvailable": true, "scenario": {"queues": [{"queueName": "Hourglass_Tel", "contactsInQueue": 3, "oldestContactAgeSeconds": 240}, {"queueName": "The_Scouts_Association_Tel", "contactsInQueue": 1, "oldestContactAgeSeconds": 600}]}}</t>
  </si>
  <si>
    <t xml:space="preserve">applied 2; MOVE to the top-ranked queue; flex cap 1</t>
  </si>
  <si>
    <t xml:space="preserve">Blocked by: Home team is configured</t>
  </si>
  <si>
    <t xml:space="preserve">Scenario applied to 2 queues. Hourglass_Tel was excluded (NO_PRIORITY_SCORE - no score in the priority table). The Scouts queue ranked first and passed, but the Mind team config item does not exist, so the home-team check failed safe. No MOVE possible until the config item is loaded.</t>
  </si>
  <si>
    <t xml:space="preserve">F1, F6</t>
  </si>
  <si>
    <t xml:space="preserve">{"decisionId": "19221046-bb37-40bf-b59f-02f577d78420", "decidedAt": "2026-10-09T09:52:57.377019+00:00", "mode": "SHADOW", "actioned": false, "decision": "REMAIN", "reason": "Blocked by: Home team is configured", "email": "gemma.shepherd@maximusuk.co.uk", "currentInstanceId": "354ed575-0151-4fc8-ac36-c4393ef35f8b", "assumedAvailable": true, "target": null, "flexCap": null, "guardRails": [{"check": "Agent is routable", "measured": true, "required": true, "result": "PASS", "note": ""}, {"check": "A ranked candidate queue exists", "measured": "The_Scouts_Association_Tel", "required": "any", "result": "PASS", "note": ""}, {"check": "Home team is configured", "measured": false, "required": true, "result": "FAIL", "note": "TEAM_NOT_CONFIGURED - fail-safe REMAIN"}], "eligibleQueuesConsidered": 81, "excludedSummary": {"NOBODY_WAITING": 79, "NO_PRIORITY_SCORE": 1}, "candidates": [{"instanceId": "decdaa49-797c-4783-ab3f-8fa195bfb6b3", "queueId": "35c01ac5-e88d-47b6-8900-09e7888a3262", "queueName": "The_Scouts_Association_Tel", "contactsWaiting": 1.0, "oldestWaitSeconds": 600.0, "priorityScore": 3.51, "mandatoryPriority": false, "rank": 1}], "dryRun": true, "logged": false, "scenario": {"applied": 2, "unmatched": []}}</t>
  </si>
  <si>
    <t xml:space="preserve">A2</t>
  </si>
  <si>
    <t xml:space="preserve">9 Oct (time not captured)</t>
  </si>
  <si>
    <t xml:space="preserve">Cross-instance queue (GamStop Online, a61e433d)</t>
  </si>
  <si>
    <t xml:space="preserve">{"email": "gemma.shepherd@maximusuk.co.uk", "instanceId": "354ed575-0151-4fc8-ac36-c4393ef35f8b", "dryRun": true, "assumeAvailable": true, "scenario": {"queues": [{"queueName": "Gamstop_Online_General_Enquiries_Tel", "contactsInQueue": 2, "oldestContactAgeSeconds": 90}]}}</t>
  </si>
  <si>
    <t xml:space="preserve">MOVE with target on a61e433d</t>
  </si>
  <si>
    <t xml:space="preserve">none</t>
  </si>
  <si>
    <t xml:space="preserve">no response</t>
  </si>
  <si>
    <t xml:space="preserve">Console request hung; no output</t>
  </si>
  <si>
    <t xml:space="preserve">No result returned, so this scenario is untested. Re-run; if it hangs again, check the Lambda timeout (30 s) and the agent-state Scan time in CloudWatch. Would also have failed on the missing team config.</t>
  </si>
  <si>
    <t xml:space="preserve">F9</t>
  </si>
  <si>
    <t xml:space="preserve">(no response - request stuck in the console)</t>
  </si>
  <si>
    <t xml:space="preserve">A3</t>
  </si>
  <si>
    <t xml:space="preserve">9 Oct 10:02:44 UTC</t>
  </si>
  <si>
    <t xml:space="preserve">Three queues, equal score and equal wait (tie handling)</t>
  </si>
  <si>
    <t xml:space="preserve">{"email": "gemma.shepherd@maximusuk.co.uk", "instanceId": "354ed575-0151-4fc8-ac36-c4393ef35f8b", "dryRun": true, "assumeAvailable": true, "scenario": {"queues": [{"queueName": "BBC_Tel", "contactsInQueue": 1, "oldestContactAgeSeconds": 120}, {"queueName": "NSPCC_Tel", "contactsInQueue": 1, "oldestContactAgeSeconds": 120}, {"queueName": "Empathy_Tel", "contactsInQueue": 1, "oldestContactAgeSeconds": 120}]}}</t>
  </si>
  <si>
    <t xml:space="preserve">All tie; order is whatever the sort leaves</t>
  </si>
  <si>
    <t xml:space="preserve">Confirms a gap: all three scored 3.51 with identical waits and were ranked BBC, NSPCC, Empathy with no rule behind that order. Needs a deterministic tie-break agreed with Gemma/Daryll. Still blocked from MOVE by the missing team config.</t>
  </si>
  <si>
    <t xml:space="preserve">F3, F1</t>
  </si>
  <si>
    <t xml:space="preserve">{"decisionId": "4e8b5050-1ee2-4dc3-a9e1-073bfd0aa907", "decidedAt": "2026-10-09T10:02:44.604725+00:00", "mode": "SHADOW", "actioned": false, "decision": "REMAIN", "reason": "Blocked by: Home team is configured", "email": "gemma.shepherd@maximusuk.co.uk", "currentInstanceId": "354ed575-0151-4fc8-ac36-c4393ef35f8b", "assumedAvailable": true, "target": null, "flexCap": null, "guardRails": [{"check": "Agent is routable", "measured": true, "required": true, "result": "PASS", "note": ""}, {"check": "A ranked candidate queue exists", "measured": "BBC_Tel", "required": "any", "result": "PASS", "note": ""}, {"check": "Home team is configured", "measured": false, "required": true, "result": "FAIL", "note": "TEAM_NOT_CONFIGURED - fail-safe REMAIN"}], "eligibleQueuesConsidered": 81, "excludedSummary": {"NOBODY_WAITING": 78}, "candidates": [{"instanceId": "decdaa49-797c-4783-ab3f-8fa195bfb6b3", "queueId": "4f501e8e-6656-4cfc-800a-0e9df42d68a7", "queueName": "BBC_Tel", "contactsWaiting": 1.0, "oldestWaitSeconds": 120.0, "priorityScore": 3.51, "mandatoryPriority": false, "rank": 1}, {"instanceId": "decdaa49-797c-4783-ab3f-8fa195bfb6b3", "queueId": "b46c8a43-6593-41bf-b55d-b5e32fe6eede", "queueName": "NSPCC_Tel", "contactsWaiting": 1.0, "oldestWaitSeconds": 120.0, "priorityScore": 3.51, "mandatoryPriority": false, "rank": 2}, {"instanceId": "decdaa49-797c-4783-ab3f-8fa195bfb6b3", "queueId": "1aae2706-d332-4fc7-b23c-fe719c9df51f", "queueName": "Empathy_Tel", "contactsWaiting": 1.0, "oldestWaitSeconds": 120.0, "priorityScore": 3.51, "mandatoryPriority": false, "rank": 3}], "dryRun": true, "logged": false, "scenario": {"applied": 3, "unmatched": []}}</t>
  </si>
  <si>
    <t xml:space="preserve">A4</t>
  </si>
  <si>
    <t xml:space="preserve">9 Oct 10:03:46 UTC</t>
  </si>
  <si>
    <t xml:space="preserve">Nobody waiting anywhere</t>
  </si>
  <si>
    <t xml:space="preserve">REMAIN; NOBODY_WAITING for all 81</t>
  </si>
  <si>
    <t xml:space="preserve">As expected for a quiet estate.</t>
  </si>
  <si>
    <t xml:space="preserve">{"decisionId": "df2e00fa-074c-4b30-aa75-7883bd8ad2f4", "decidedAt": "2026-10-09T10:03:46.963263+00:00", "mode": "SHADOW", "actioned": false, "decision": "REMAIN", "reason": "Blocked by: A ranked candidate queue exists", "email": "gemma.shepherd@maximusuk.co.uk", "currentInstanceId": "354ed575-0151-4fc8-ac36-c4393ef35f8b", "assumedAvailable": true, "target": null, "flexCap": null, "guardRails": [{"check": "Agent is routable", "measured": true, "required": true, "result": "PASS", "note": ""}, {"check": "A ranked candidate queue exists", "measured": null, "required": "any", "result": "FAIL", "note": ""}], "eligibleQueuesConsidered": 81, "excludedSummary": {"NOBODY_WAITING": 81}, "candidates": [], "dryRun": true, "logged": false}</t>
  </si>
  <si>
    <t xml:space="preserve">B1</t>
  </si>
  <si>
    <t xml:space="preserve">9 Oct 10:04:11 UTC</t>
  </si>
  <si>
    <t xml:space="preserve">Agent not routable (no assumeAvailable)</t>
  </si>
  <si>
    <t xml:space="preserve">{"email": "gemma.shepherd@maximusuk.co.uk", "instanceId": "354ed575-0151-4fc8-ac36-c4393ef35f8b", "dryRun": true, "scenario": {"queues": [{"queueName": "Hourglass_Tel", "contactsInQueue": 3, "oldestContactAgeSeconds": 240}]}}</t>
  </si>
  <si>
    <t xml:space="preserve">REMAIN; 'Agent is routable' fails</t>
  </si>
  <si>
    <t xml:space="preserve">Blocked by: Agent is routable</t>
  </si>
  <si>
    <t xml:space="preserve">Routable check works against the agent-state record. The agent state was not recorded alongside the result, so this does not prove which state she was in. Hourglass_Tel again had no priority score.</t>
  </si>
  <si>
    <t xml:space="preserve">F6</t>
  </si>
  <si>
    <t xml:space="preserve">{"decisionId": "7c775f22-2b18-4d17-aa71-a18d8aabc993", "decidedAt": "2026-10-09T10:04:11.943240+00:00", "mode": "SHADOW", "actioned": false, "decision": "REMAIN", "reason": "Blocked by: Agent is routable", "email": "gemma.shepherd@maximusuk.co.uk", "currentInstanceId": "354ed575-0151-4fc8-ac36-c4393ef35f8b", "assumedAvailable": false, "target": null, "flexCap": null, "guardRails": [{"check": "Agent is routable", "measured": false, "required": true, "result": "FAIL", "note": ""}, {"check": "A ranked candidate queue exists", "measured": null, "required": "any", "result": "FAIL", "note": ""}], "eligibleQueuesConsidered": 81, "excludedSummary": {"NOBODY_WAITING": 80, "NO_PRIORITY_SCORE": 1}, "candidates": [], "dryRun": true, "logged": false, "scenario": {"applied": 1, "unmatched": []}}</t>
  </si>
  <si>
    <t xml:space="preserve">B2</t>
  </si>
  <si>
    <t xml:space="preserve">9 Oct 10:04:37 UTC</t>
  </si>
  <si>
    <t xml:space="preserve">Team not configured (home instance a61e433d)</t>
  </si>
  <si>
    <t xml:space="preserve">{"email": "gemma.shepherd@maximusuk.co.uk", "instanceId": "a61e433d-0b3c-46d6-b6cc-2cc9f3f6c6c3", "dryRun": true, "assumeAvailable": true, "scenario": {"queues": [{"queueName": "Hourglass_Tel", "contactsInQueue": 3, "oldestContactAgeSeconds": 240}]}}</t>
  </si>
  <si>
    <t xml:space="preserve">REMAIN; team-config check fails</t>
  </si>
  <si>
    <t xml:space="preserve">Did not test what was intended: the only simulated queue (Hourglass_Tel) has no priority score, so no candidate existed and the team-config check was never reached. Re-run with The_Scouts_Association_Tel.</t>
  </si>
  <si>
    <t xml:space="preserve">{"decisionId": "7742d396-48b7-40d9-b1f9-52cfa70fb3dd", "decidedAt": "2026-10-09T10:04:37.743193+00:00", "mode": "SHADOW", "actioned": false, "decision": "REMAIN", "reason": "Blocked by: A ranked candidate queue exists", "email": "gemma.shepherd@maximusuk.co.uk", "currentInstanceId": "a61e433d-0b3c-46d6-b6cc-2cc9f3f6c6c3", "assumedAvailable": true, "target": null, "flexCap": null, "guardRails": [{"check": "Agent is routable", "measured": true, "required": true, "result": "PASS", "note": ""}, {"check": "A ranked candidate queue exists", "measured": null, "required": "any", "result": "FAIL", "note": ""}], "eligibleQueuesConsidered": 77, "excludedSummary": {"NOBODY_WAITING": 76, "NO_PRIORITY_SCORE": 1}, "candidates": [], "dryRun": true, "logged": false, "scenario": {"applied": 1, "unmatched": []}}</t>
  </si>
  <si>
    <t xml:space="preserve">B3</t>
  </si>
  <si>
    <t xml:space="preserve">not run</t>
  </si>
  <si>
    <t xml:space="preserve">Flex cap block (flexedOut = 1)</t>
  </si>
  <si>
    <t xml:space="preserve">Set flexedOut = 1 on the TEAM#354ed575-... item in mc-dev-config, then re-run A1</t>
  </si>
  <si>
    <t xml:space="preserve">REMAIN; flex cap check fails (2 &gt; 1)</t>
  </si>
  <si>
    <t xml:space="preserve">-</t>
  </si>
  <si>
    <t xml:space="preserve">Cannot run until the Mind team config item exists (F1).</t>
  </si>
  <si>
    <t xml:space="preserve">F12</t>
  </si>
  <si>
    <t xml:space="preserve">(not run)</t>
  </si>
  <si>
    <t xml:space="preserve">B4</t>
  </si>
  <si>
    <t xml:space="preserve">9 Oct 10:05:04 UTC</t>
  </si>
  <si>
    <t xml:space="preserve">Bureau (dev) as home instance, flexFraction 0</t>
  </si>
  <si>
    <t xml:space="preserve">{"email": "gemma.shepherd@maximusuk.co.uk", "instanceId": "b5dc33a8-2db8-4d9f-a82c-47f899f56337", "dryRun": true, "assumeAvailable": true, "scenario": {"queues": [{"queueName": "Hourglass_Tel", "contactsInQueue": 3, "oldestContactAgeSeconds": 240}]}}</t>
  </si>
  <si>
    <t xml:space="preserve">REMAIN; cap 0 for a team with flexFraction 0</t>
  </si>
  <si>
    <t xml:space="preserve">Same issue as B2: Hourglass_Tel has no priority score, so the cap check was not reached. Re-run with The_Scouts_Association_Tel (and confirm the Bureau config item exists).</t>
  </si>
  <si>
    <t xml:space="preserve">{"decisionId": "210e2c2e-a14b-4fbb-ae4c-8d6059f95229", "decidedAt": "2026-10-09T10:05:04.962172+00:00", "mode": "SHADOW", "actioned": false, "decision": "REMAIN", "reason": "Blocked by: A ranked candidate queue exists", "email": "gemma.shepherd@maximusuk.co.uk", "currentInstanceId": "b5dc33a8-2db8-4d9f-a82c-47f899f56337", "assumedAvailable": true, "target": null, "flexCap": null, "guardRails": [{"check": "Agent is routable", "measured": true, "required": true, "result": "PASS", "note": ""}, {"check": "A ranked candidate queue exists", "measured": null, "required": "any", "result": "FAIL", "note": ""}], "eligibleQueuesConsidered": 78, "excludedSummary": {"NOBODY_WAITING": 77, "NO_PRIORITY_SCORE": 1}, "candidates": [], "dryRun": true, "logged": false, "scenario": {"applied": 1, "unmatched": []}}</t>
  </si>
  <si>
    <t xml:space="preserve">C1</t>
  </si>
  <si>
    <t xml:space="preserve">9 Oct 10:05:28 UTC</t>
  </si>
  <si>
    <t xml:space="preserve">Unmatched queue name</t>
  </si>
  <si>
    <t xml:space="preserve">{"email": "gemma.shepherd@maximusuk.co.uk", "instanceId": "354ed575-0151-4fc8-ac36-c4393ef35f8b", "dryRun": true, "assumeAvailable": true, "scenario": {"queues": [{"queueName": "Does_Not_Exist", "contactsInQueue": 1, "oldestContactAgeSeconds": 30}]}}</t>
  </si>
  <si>
    <t xml:space="preserve">applied 0; name listed under unmatched</t>
  </si>
  <si>
    <t xml:space="preserve">Bad names are reported, not silently ignored.</t>
  </si>
  <si>
    <t xml:space="preserve">{"decisionId": "73596f53-02bb-426a-b1cd-f11057bee8a2", "decidedAt": "2026-10-09T10:05:28.182149+00:00", "mode": "SHADOW", "actioned": false, "decision": "REMAIN", "reason": "Blocked by: A ranked candidate queue exists", "email": "gemma.shepherd@maximusuk.co.uk", "currentInstanceId": "354ed575-0151-4fc8-ac36-c4393ef35f8b", "assumedAvailable": true, "target": null, "flexCap": null, "guardRails": [{"check": "Agent is routable", "measured": true, "required": true, "result": "PASS", "note": ""}, {"check": "A ranked candidate queue exists", "measured": null, "required": "any", "result": "FAIL", "note": ""}], "eligibleQueuesConsidered": 81, "excludedSummary": {"NOBODY_WAITING": 81}, "candidates": [], "dryRun": true, "logged": false, "scenario": {"applied": 0, "unmatched": [{"queueName": "Does_Not_Exist", "contactsInQueue": 1, "oldestContactAgeSeconds": 30}]}}</t>
  </si>
  <si>
    <t xml:space="preserve">C2</t>
  </si>
  <si>
    <t xml:space="preserve">9 Oct 10:05:54 UTC</t>
  </si>
  <si>
    <t xml:space="preserve">Chat queue treated as voice (known gap)</t>
  </si>
  <si>
    <t xml:space="preserve">{"email": "gemma.shepherd@maximusuk.co.uk", "instanceId": "354ed575-0151-4fc8-ac36-c4393ef35f8b", "dryRun": true, "assumeAvailable": true, "scenario": {"queues": [{"queueName": "RSC_Wellbeing_and_Listening_Chat", "contactsInQueue": 2, "oldestContactAgeSeconds": 60}]}}</t>
  </si>
  <si>
    <t xml:space="preserve">May come back as a valid candidate on two instances</t>
  </si>
  <si>
    <t xml:space="preserve">Confirms two gaps: a chat queue passes the voice filter (source data tags every queue VOICE), and the same queue name exists on two instances (b5dc33a8 and decdaa49) with one shared priority score. Mind-team config still missing.</t>
  </si>
  <si>
    <t xml:space="preserve">F4, F5</t>
  </si>
  <si>
    <t xml:space="preserve">{"decisionId": "57099eaf-163a-418f-94f8-689b79649d30", "decidedAt": "2026-10-09T10:05:54.262405+00:00", "mode": "SHADOW", "actioned": false, "decision": "REMAIN", "reason": "Blocked by: Home team is configured", "email": "gemma.shepherd@maximusuk.co.uk", "currentInstanceId": "354ed575-0151-4fc8-ac36-c4393ef35f8b", "assumedAvailable": true, "target": null, "flexCap": null, "guardRails": [{"check": "Agent is routable", "measured": true, "required": true, "result": "PASS", "note": ""}, {"check": "A ranked candidate queue exists", "measured": "RSC_Wellbeing_and_Listening_Chat", "required": "any", "result": "PASS", "note": ""}, {"check": "Home team is configured", "measured": false, "required": true, "result": "FAIL", "note": "TEAM_NOT_CONFIGURED - fail-safe REMAIN"}], "eligibleQueuesConsidered": 81, "excludedSummary": {"NOBODY_WAITING": 79}, "candidates": [{"instanceId": "b5dc33a8-2db8-4d9f-a82c-47f899f56337", "queueId": "9a3d4ac3-7a88-494f-b34f-1aa03e315b5f", "queueName": "RSC_Wellbeing_and_Listening_Chat", "contactsWaiting": 2.0, "oldestWaitSeconds": 60.0, "priorityScore": 3.51, "mandatoryPriority": false, "rank": 1}, {"instanceId": "decdaa49-797c-4783-ab3f-8fa195bfb6b3", "queueId": "d4bb2d19-17b4-4f29-90c4-c341178f5415", "queueName": "RSC_Wellbeing_and_Listening_Chat", "contactsWaiting": 2.0, "oldestWaitSeconds": 60.0, "priorityScore": 3.51, "mandatoryPriority": false, "rank": 2}], "dryRun": true, "logged": false, "scenario": {"applied": 2, "unmatched": []}}</t>
  </si>
  <si>
    <t xml:space="preserve">C3</t>
  </si>
  <si>
    <t xml:space="preserve">9 Oct 10:09:45 UTC</t>
  </si>
  <si>
    <t xml:space="preserve">Duplicate queue name, targeted by queueId</t>
  </si>
  <si>
    <t xml:space="preserve">{"email": "gemma.shepherd@maximusuk.co.uk", "instanceId": "354ed575-0151-4fc8-ac36-c4393ef35f8b", "dryRun": true, "assumeAvailable": true, "scenario": {"queues": [{"queueId": "3567a805-81ca-46e2-a92a-07b301dbf6ef", "contactsInQueue": 2, "oldestContactAgeSeconds": 60}]}}</t>
  </si>
  <si>
    <t xml:space="preserve">Exactly one queue applied (decdaa49)</t>
  </si>
  <si>
    <t xml:space="preserve">Matching by queueId hits one queue only (applied 1). Quick-Connect-Queue has no priority score, so it was excluded (NO_PRIORITY_SCORE).</t>
  </si>
  <si>
    <t xml:space="preserve">F5, F6</t>
  </si>
  <si>
    <t xml:space="preserve">{"decisionId": "50bb5028-9421-429f-8253-9509e710ebc3", "decidedAt": "2026-10-09T10:09:45.978011+00:00", "mode": "SHADOW", "actioned": false, "decision": "REMAIN", "reason": "Blocked by: A ranked candidate queue exists", "email": "gemma.shepherd@maximusuk.co.uk", "currentInstanceId": "354ed575-0151-4fc8-ac36-c4393ef35f8b", "assumedAvailable": true, "target": null, "flexCap": null, "guardRails": [{"check": "Agent is routable", "measured": true, "required": true, "result": "PASS", "note": ""}, {"check": "A ranked candidate queue exists", "measured": null, "required": "any", "result": "FAIL", "note": ""}], "eligibleQueuesConsidered": 81, "excludedSummary": {"NOBODY_WAITING": 80, "NO_PRIORITY_SCORE": 1}, "candidates": [], "dryRun": true, "logged": false, "scenario": {"applied": 1, "unmatched": []}}</t>
  </si>
  <si>
    <t xml:space="preserve">C4</t>
  </si>
  <si>
    <t xml:space="preserve">9 Oct ~10:10 UTC (time not captured)</t>
  </si>
  <si>
    <t xml:space="preserve">Scenario combined with a real run</t>
  </si>
  <si>
    <t xml:space="preserve">{"email": "gemma.shepherd@maximusuk.co.uk", "instanceId": "354ed575-0151-4fc8-ac36-c4393ef35f8b", "dryRun": false, "assumeAvailable": true, "scenario": {"queues": [{"queueName": "Hourglass_Tel", "contactsInQueue": 3, "oldestContactAgeSeconds": 240}]}}</t>
  </si>
  <si>
    <t xml:space="preserve">400 - scenario only allowed with dryRun true</t>
  </si>
  <si>
    <t xml:space="preserve">scenario can only be used with dryRun: true</t>
  </si>
  <si>
    <t xml:space="preserve">Safety rule works: simulated contacts can never create a real logged decision.</t>
  </si>
  <si>
    <t xml:space="preserve">{"message": "scenario can only be used with dryRun: true"}</t>
  </si>
  <si>
    <t xml:space="preserve">D1</t>
  </si>
  <si>
    <t xml:space="preserve">9 Oct 10:10:39 UTC</t>
  </si>
  <si>
    <t xml:space="preserve">Real run writes to the decision log</t>
  </si>
  <si>
    <t xml:space="preserve">{"email": "gemma.shepherd@maximusuk.co.uk", "instanceId": "354ed575-0151-4fc8-ac36-c4393ef35f8b", "dryRun": false, "assumeAvailable": true}</t>
  </si>
  <si>
    <t xml:space="preserve">REMAIN; "logged": true; one new item in mc-dev-decision-log</t>
  </si>
  <si>
    <t xml:space="preserve">Lambda reports logged true. Still to confirm: open mc-dev-decision-log and check the item (PK AGENT#&lt;email&gt;, SK DECISION#..., mode SHADOW, actioned false).</t>
  </si>
  <si>
    <t xml:space="preserve">F13</t>
  </si>
  <si>
    <t xml:space="preserve">{"decisionId": "3a72633e-2fcd-4421-983f-6e8bb01eaf9d", "decidedAt": "2026-10-09T10:10:39.938044+00:00", "mode": "SHADOW", "actioned": false, "decision": "REMAIN", "reason": "Blocked by: A ranked candidate queue exists", "email": "gemma.shepherd@maximusuk.co.uk", "currentInstanceId": "354ed575-0151-4fc8-ac36-c4393ef35f8b", "assumedAvailable": true, "target": null, "flexCap": null, "guardRails": [{"check": "Agent is routable", "measured": true, "required": true, "result": "PASS", "note": ""}, {"check": "A ranked candidate queue exists", "measured": null, "required": "any", "result": "FAIL", "note": ""}], "eligibleQueuesConsidered": 81, "excludedSummary": {"NOBODY_WAITING": 81}, "candidates": [], "dryRun": false, "logged": true}</t>
  </si>
  <si>
    <t xml:space="preserve">T11</t>
  </si>
  <si>
    <t xml:space="preserve">14 Oct 07:25:44 UTC</t>
  </si>
  <si>
    <t xml:space="preserve">Gemma scenario 11 - low-volume customer 'lost in the noise'</t>
  </si>
  <si>
    <t xml:space="preserve">{"email": "gemma.shepherd@maximusuk.co.uk", "instanceId": "354ed575-0151-4fc8-ac36-c4393ef35f8b", "dryRun": true, "assumeAvailable": true, "scenario": {"queues": [{"queueName": "Empathy_Tel", "contactsInQueue": 1, "oldestContactAgeSeconds": 1800}, {"queueName": "BBC_Tel", "contactsInQueue": 5, "oldestContactAgeSeconds": 10}]}}</t>
  </si>
  <si>
    <t xml:space="preserve">Only shows the gap if the two queues have different priority scores (Empathy lowered to 1.0)</t>
  </si>
  <si>
    <t xml:space="preserve">Both queues still scored 3.51, so the longest wait (Empathy, 1800 s) ranked first. That is the tie-break working, not the problem scenario. To demonstrate the gap, lower Empathy_Tel's totalScore to 1.0 in mc-dev-priority-scores and re-run; BBC should then rank first despite the 30-minute wait.</t>
  </si>
  <si>
    <t xml:space="preserve">F10, F1</t>
  </si>
  <si>
    <t xml:space="preserve">{"decisionId": "68263433-3c01-4c51-9420-e6859fe0d970", "decidedAt": "2026-10-14T07:25:44.471976+00:00", "mode": "SHADOW", "actioned": false, "decision": "REMAIN", "reason": "Blocked by: Home team is configured", "email": "gemma.shepherd@maximusuk.co.uk", "currentInstanceId": "354ed575-0151-4fc8-ac36-c4393ef35f8b", "assumedAvailable": true, "target": null, "flexCap": null, "guardRails": [{"check": "Agent is routable", "measured": true, "required": true, "result": "PASS", "note": ""}, {"check": "A ranked candidate queue exists", "measured": "Empathy_Tel", "required": "any", "result": "PASS", "note": ""}, {"check": "Home team is configured", "measured": false, "required": true, "result": "FAIL", "note": "TEAM_NOT_CONFIGURED - fail-safe REMAIN"}], "eligibleQueuesConsidered": 81, "excludedSummary": {"NOBODY_WAITING": 79}, "candidates": [{"instanceId": "decdaa49-797c-4783-ab3f-8fa195bfb6b3", "queueId": "1aae2706-d332-4fc7-b23c-fe719c9df51f", "queueName": "Empathy_Tel", "contactsWaiting": 1.0, "oldestWaitSeconds": 1800.0, "priorityScore": 3.51, "mandatoryPriority": false, "rank": 1}, {"instanceId": "decdaa49-797c-4783-ab3f-8fa195bfb6b3", "queueId": "4f501e8e-6656-4cfc-800a-0e9df42d68a7", "queueName": "BBC_Tel", "contactsWaiting": 5.0, "oldestWaitSeconds": 10.0, "priorityScore": 3.51, "mandatoryPriority": false, "rank": 2}], "dryRun": true, "logged": false, "scenario": {"applied": 2, "unmatched": []}}</t>
  </si>
  <si>
    <t xml:space="preserve">T5</t>
  </si>
  <si>
    <t xml:space="preserve">14 Oct 07:27:40 UTC</t>
  </si>
  <si>
    <t xml:space="preserve">Gemma scenario 5 - non-productive status (no assumeAvailable)</t>
  </si>
  <si>
    <t xml:space="preserve">{"email": "gemma.shepherd@maximusuk.co.uk", "instanceId": "354ed575-0151-4fc8-ac36-c4393ef35f8b", "dryRun": true, "scenario": {"queues": [{"queueName": "The_Scouts_Association_Tel", "contactsInQueue": 2, "oldestContactAgeSeconds": 120}]}}</t>
  </si>
  <si>
    <t xml:space="preserve">REMAIN; 'Agent is routable' fails for a non-routable state</t>
  </si>
  <si>
    <t xml:space="preserve">The routable check failed, which is the right outcome, but the agent's actual state was not recorded, so this does not prove a lunch-type status was detected. Her record last showed Offline on 4 Oct. Re-run after putting her in a known non-routable status in the CCP and note CurrentState, CurrentStateType and CurrentStateTime from agent-state.</t>
  </si>
  <si>
    <t xml:space="preserve">F11, F1</t>
  </si>
  <si>
    <t xml:space="preserve">{"decisionId": "54ba0670-90f6-4090-83dc-e1c1a3d3b969", "decidedAt": "2026-10-14T07:27:40.227673+00:00", "mode": "SHADOW", "actioned": false, "decision": "REMAIN", "reason": "Blocked by: Agent is routable", "email": "gemma.shepherd@maximusuk.co.uk", "currentInstanceId": "354ed575-0151-4fc8-ac36-c4393ef35f8b", "assumedAvailable": false, "target": null, "flexCap": null, "guardRails": [{"check": "Agent is routable", "measured": false, "required": true, "result": "FAIL", "note": ""}, {"check": "A ranked candidate queue exists", "measured": "The_Scouts_Association_Tel", "required": "any", "result": "PASS", "note": ""}, {"check": "Home team is configured", "measured": false, "required": true, "result": "FAIL", "note": "TEAM_NOT_CONFIGURED - fail-safe REMAIN"}], "eligibleQueuesConsidered": 81, "excludedSummary": {"NOBODY_WAITING": 80}, "candidates": [{"instanceId": "decdaa49-797c-4783-ab3f-8fa195bfb6b3", "queueId": "35c01ac5-e88d-47b6-8900-09e7888a3262", "queueName": "The_Scouts_Association_Tel", "contactsWaiting": 2.0, "oldestWaitSeconds": 120.0, "priorityScore": 3.51, "mandatoryPriority": false, "rank": 1}], "dryRun": true, "logged": false, "scenario": {"applied": 1, "unmatched": []}}</t>
  </si>
  <si>
    <t xml:space="preserve">#</t>
  </si>
  <si>
    <t xml:space="preserve">Theme</t>
  </si>
  <si>
    <t xml:space="preserve">Scenario / consideration (from Gemma's list)</t>
  </si>
  <si>
    <t xml:space="preserve">Testable now?</t>
  </si>
  <si>
    <t xml:space="preserve">Tests run</t>
  </si>
  <si>
    <t xml:space="preserve">Outcome so far</t>
  </si>
  <si>
    <t xml:space="preserve">What it means / gap</t>
  </si>
  <si>
    <t xml:space="preserve">Needs (build / decision)</t>
  </si>
  <si>
    <t xml:space="preserve">Resource availability</t>
  </si>
  <si>
    <t xml:space="preserve">A high level of agents off (ill / holiday) means a contract's minimum number can't be met. Don't move agents to save one instance if it puts another in jeopardy.</t>
  </si>
  <si>
    <t xml:space="preserve">B3 (not run), B4 (re-run needed)</t>
  </si>
  <si>
    <t xml:space="preserve">Not evidenced yet</t>
  </si>
  <si>
    <t xml:space="preserve">Only a proxy exists: flex cap = headcount x min(flexFraction, diversion limit). No minimum-staffing setting and no live count of the home team's available agents.</t>
  </si>
  <si>
    <t xml:space="preserve">Build: minimum-staffing setting and live availability count. Decision: minimum numbers per contract.</t>
  </si>
  <si>
    <t xml:space="preserve">High demand</t>
  </si>
  <si>
    <t xml:space="preserve">The agent's available time is too short for the MC to redeploy them before the next contact arrives (e.g. RABI grant go-live).</t>
  </si>
  <si>
    <t xml:space="preserve">Not testable in the calculation</t>
  </si>
  <si>
    <t xml:space="preserve">A timing problem between the agent becoming available and the MC acting, not a ranking problem. Shadow mode could measure it if the agent's state age is logged with each decision.</t>
  </si>
  <si>
    <t xml:space="preserve">Build: log agent-state age and event time. Design: act on a state change rather than polling.</t>
  </si>
  <si>
    <t xml:space="preserve">Latency</t>
  </si>
  <si>
    <t xml:space="preserve">The MC sees the agent as available and tries to move them, but the delay lets the agent accept a new contact. An agent on contact can't be moved.</t>
  </si>
  <si>
    <t xml:space="preserve">B1, T5</t>
  </si>
  <si>
    <t xml:space="preserve">Routable check works (agent state at record time)</t>
  </si>
  <si>
    <t xml:space="preserve">The routable check reads the agent-state record, which is only as current as the last event. The record's age is not checked, and a real action step would need to re-check just before moving.</t>
  </si>
  <si>
    <t xml:space="preserve">Build: stale agent-state guard; re-check step before any action.</t>
  </si>
  <si>
    <t xml:space="preserve">How quickly can the MC ingest data, decide and move an agent? (Within an instance, live data lags by a few seconds.)</t>
  </si>
  <si>
    <t xml:space="preserve">Not measured</t>
  </si>
  <si>
    <t xml:space="preserve">Lambda duration can be read from CloudWatch; the pipeline lag (event to agent-state to decision) is not logged. Queue-state snapshots were 14-27 s old in the 9 Oct screenshot.</t>
  </si>
  <si>
    <t xml:space="preserve">Build: timing fields; measure with snapshot_age_probe.py and a state-change test.</t>
  </si>
  <si>
    <t xml:space="preserve">Multi status</t>
  </si>
  <si>
    <t xml:space="preserve">An agent switches to a non-productive status (e.g. lunch) after the MC has seen them as available.</t>
  </si>
  <si>
    <t xml:space="preserve">T5 (partial), B1</t>
  </si>
  <si>
    <t xml:space="preserve">Routable check fails for a non-routable state</t>
  </si>
  <si>
    <t xml:space="preserve">Works as designed when the record is current. T5 did not record the agent's actual state, so it needs a repeat with a known lunch-type status. Same record-age risk as scenario 3.</t>
  </si>
  <si>
    <t xml:space="preserve">Test: re-run T5 with a known state. Build: stale agent-state guard.</t>
  </si>
  <si>
    <t xml:space="preserve">VM &amp; Outbound calls</t>
  </si>
  <si>
    <t xml:space="preserve">Agents who must listen to voicemails then make follow-up calls need protecting from being moved. Should team leaders be able to put agents in or out of the shared resource, without removing routing profiles?</t>
  </si>
  <si>
    <t xml:space="preserve">No such control exists</t>
  </si>
  <si>
    <t xml:space="preserve">Nothing checks a per-agent opt-out. Voicemail queues are classified as non-voice in the new Lambda, but that does not protect the agent.</t>
  </si>
  <si>
    <t xml:space="preserve">Build: per-agent shared-resource flag with optional expiry. Decision: how team leaders set it.</t>
  </si>
  <si>
    <t xml:space="preserve">Skills</t>
  </si>
  <si>
    <t xml:space="preserve">Make sure agents with fewer skills are used before multi-skilled agents.</t>
  </si>
  <si>
    <t xml:space="preserve">Not covered</t>
  </si>
  <si>
    <t xml:space="preserve">The Lambda starts from one agent and picks a queue; it never compares agents. Needs a mode that starts from a queue and ranks agents (e.g. fewest eligible queues first).</t>
  </si>
  <si>
    <t xml:space="preserve">Build: queue-centric mode plus the skills table (one item per queue-agent pair).</t>
  </si>
  <si>
    <t xml:space="preserve">Make the MC the master for routing profiles, to save profile creation and user management effort.</t>
  </si>
  <si>
    <t xml:space="preserve">Out of scope</t>
  </si>
  <si>
    <t xml:space="preserve">An architecture and business decision, outside the November test-harness scope.</t>
  </si>
  <si>
    <t xml:space="preserve">Decision: Daryll/Gemma; later phase.</t>
  </si>
  <si>
    <t xml:space="preserve">Capacity</t>
  </si>
  <si>
    <t xml:space="preserve">Resource used on a queue that starts earlier than others, and agents are never available long enough to be redirected to a queue that is starting.</t>
  </si>
  <si>
    <t xml:space="preserve">Queue start times and opening hours are not modelled.</t>
  </si>
  <si>
    <t xml:space="preserve">Build: schedule data. Decision: priority for starting queues.</t>
  </si>
  <si>
    <t xml:space="preserve">A customer reaches the daily cap of calls they've paid for. How do we de-prioritise the queue intraday - manual or automated?</t>
  </si>
  <si>
    <t xml:space="preserve">Manual route available</t>
  </si>
  <si>
    <t xml:space="preserve">Manual: lower that queue's totalScore in mc-dev-priority-scores and re-run. Automated needs contract volume data and the Layer 3 modifiers from the priority framework (not built).</t>
  </si>
  <si>
    <t xml:space="preserve">Build: Layer 3 modifier. Data: contract volumes.</t>
  </si>
  <si>
    <t xml:space="preserve">A customer with 1-2 calls a day gets 'lost in the noise' of busy lines that use all the capacity.</t>
  </si>
  <si>
    <t xml:space="preserve">T11 (partial)</t>
  </si>
  <si>
    <t xml:space="preserve">Gap not yet demonstrated</t>
  </si>
  <si>
    <t xml:space="preserve">With equal scores the longest wait wins (works). The risk appears when the low-volume queue has a lower score: a long wait never outranks a higher score. The exception triggers / wait escalation in the framework are not built.</t>
  </si>
  <si>
    <t xml:space="preserve">Test: lower Empathy_Tel score and re-run T11. Decision: escalation rule for long waits.</t>
  </si>
  <si>
    <t xml:space="preserve">Impact of one agent not being able to support chats across customers instead of up to three chats at once.</t>
  </si>
  <si>
    <t xml:space="preserve">Routing-profile concurrency is not modelled; the Lambda treats an agent as one unit.</t>
  </si>
  <si>
    <t xml:space="preserve">Decision: capacity model.</t>
  </si>
  <si>
    <t xml:space="preserve">Demand</t>
  </si>
  <si>
    <t xml:space="preserve">A line is expected to have a queue at a certain time but we don't want to over-service the customer. What if a Work Allocation Pool has more demand than resource but more agents are due online shortly?</t>
  </si>
  <si>
    <t xml:space="preserve">No pool configuration and no shift or forecast data.</t>
  </si>
  <si>
    <t xml:space="preserve">Build: pool config and shift data. Decision: Daryll/Gemma; outside November scope.</t>
  </si>
  <si>
    <t xml:space="preserve">Priority</t>
  </si>
  <si>
    <t xml:space="preserve">Many queues have the same priority score from the static and dynamic data. Which line is presented first?</t>
  </si>
  <si>
    <t xml:space="preserve">A3, T11</t>
  </si>
  <si>
    <t xml:space="preserve">Gap confirmed</t>
  </si>
  <si>
    <t xml:space="preserve">A3: equal score and equal wait gave an order with no rule behind it. T11: equal score, so the longer wait ranked first. A deterministic tie-break is needed.</t>
  </si>
  <si>
    <t xml:space="preserve">Build: tie-break (wait, then name and ID). Decision: whether to rotate across ties.</t>
  </si>
  <si>
    <t xml:space="preserve">No agents can cover a queue under pressure (all on profiles that don't support it). Should we alert when nobody logged in has the skill?</t>
  </si>
  <si>
    <t xml:space="preserve">The Lambda is agent-initiated, so it can't see queue coverage. Needs a queue-centric view using eligible queues and agent state, or the skills table.</t>
  </si>
  <si>
    <t xml:space="preserve">Build: coverage view / alert.</t>
  </si>
  <si>
    <t xml:space="preserve">Ref</t>
  </si>
  <si>
    <t xml:space="preserve">Finding</t>
  </si>
  <si>
    <t xml:space="preserve">Evidence (test IDs)</t>
  </si>
  <si>
    <t xml:space="preserve">Proposed action</t>
  </si>
  <si>
    <t xml:space="preserve">F1</t>
  </si>
  <si>
    <t xml:space="preserve">Mind team config item missing: every candidate run stops at 'Home team is configured' (TEAM_NOT_CONFIGURED), so no MOVE has been produced yet.</t>
  </si>
  <si>
    <t xml:space="preserve">A1, A3, C2, T11, T5</t>
  </si>
  <si>
    <t xml:space="preserve">High</t>
  </si>
  <si>
    <t xml:space="preserve">Add the TEAM#354ed575-... / CONFIG item to mc-dev-config (and the Bureau item); check CONFIG_TABLE_NAME points at that table.</t>
  </si>
  <si>
    <t xml:space="preserve">Open</t>
  </si>
  <si>
    <t xml:space="preserve">Agent-state stores queue ARNs but queue-state is keyed by queue UUID, so no queue matched.</t>
  </si>
  <si>
    <t xml:space="preserve">S1, S2</t>
  </si>
  <si>
    <t xml:space="preserve">Fixed in supply_calc.py: ARN converted to UUID; agent personal queues skipped.</t>
  </si>
  <si>
    <t xml:space="preserve">Closed</t>
  </si>
  <si>
    <t xml:space="preserve">F3</t>
  </si>
  <si>
    <t xml:space="preserve">Equal priority score and equal wait gives an arbitrary order.</t>
  </si>
  <si>
    <t xml:space="preserve">Medium</t>
  </si>
  <si>
    <t xml:space="preserve">Add a deterministic tie-break; agree with Gemma/Daryll whether to rotate across ties.</t>
  </si>
  <si>
    <t xml:space="preserve">F4</t>
  </si>
  <si>
    <t xml:space="preserve">Chat / WhatsApp queues pass the voice filter because the source tags every queue VOICE. The new Lambda classifies by queue name (_tel = voice, _vm = voicemail, everything else = chat), which would misclassify voice queues without the _Tel suffix (e.g. Kings Trust, BasicQueue).</t>
  </si>
  <si>
    <t xml:space="preserve">Read each queue's real channel from the routing profile configuration instead of guessing from the name. Ask Gemma which unsuffixed queues are voice.</t>
  </si>
  <si>
    <t xml:space="preserve">F5</t>
  </si>
  <si>
    <t xml:space="preserve">Duplicate queue names across instances share one priority score (e.g. RSC_..._Chat, MMM_WA, Quick-Connect-Queue).</t>
  </si>
  <si>
    <t xml:space="preserve">C2, C3</t>
  </si>
  <si>
    <t xml:space="preserve">Key priority scores by instance and queue ID, not name. Use queueId in scenarios meanwhile.</t>
  </si>
  <si>
    <t xml:space="preserve">Some queues have no priority score (Hourglass_Tel, Quick-Connect-Queue), so they are excluded as NO_PRIORITY_SCORE.</t>
  </si>
  <si>
    <t xml:space="preserve">A1, B1, B2, B4, C3</t>
  </si>
  <si>
    <t xml:space="preserve">Decide who keeps the scores table complete; choose test queues that have a score.</t>
  </si>
  <si>
    <t xml:space="preserve">F7</t>
  </si>
  <si>
    <t xml:space="preserve">Snapshot freshness: queue-state snapshots were roughly 14-27 s old in the 9 Oct screenshot (current pipeline). The new Lambda refreshes live data only on Connect events, and its schedule runs the historical path only. Gemma's limit is 20 s. Not exercised by the Lambda runs, because the 'nobody waiting' check comes before the freshness check.</t>
  </si>
  <si>
    <t xml:space="preserve">Screenshot 9 Oct (not a Lambda run)</t>
  </si>
  <si>
    <t xml:space="preserve">Run snapshot_age_probe.py; agree with Mike whether the schedule also runs the live collection; clarify with Gemma whether 20 s means 'data no older than' or 'refresh every'.</t>
  </si>
  <si>
    <t xml:space="preserve">F8</t>
  </si>
  <si>
    <t xml:space="preserve">The agent-state record's age is not checked. The routable decision can rest on an out-of-date state.</t>
  </si>
  <si>
    <t xml:space="preserve">Add a stale agent-state guard and log the state age with each decision.</t>
  </si>
  <si>
    <t xml:space="preserve">Test A2 hung with no response.</t>
  </si>
  <si>
    <t xml:space="preserve">Low</t>
  </si>
  <si>
    <t xml:space="preserve">Re-run. If it recurs, check the 30 s Lambda timeout and the agent-state Scan duration in CloudWatch.</t>
  </si>
  <si>
    <t xml:space="preserve">F10</t>
  </si>
  <si>
    <t xml:space="preserve">T11 did not demonstrate the 'lost in the noise' gap because both queues scored 3.51.</t>
  </si>
  <si>
    <t xml:space="preserve">Lower Empathy_Tel totalScore to 1.0, re-run, then restore 3.51.</t>
  </si>
  <si>
    <t xml:space="preserve">F11</t>
  </si>
  <si>
    <t xml:space="preserve">T5 did not record the agent's actual state.</t>
  </si>
  <si>
    <t xml:space="preserve">T5, B1</t>
  </si>
  <si>
    <t xml:space="preserve">Put the test agent in a known non-routable status, record the agent-state fields, then re-run.</t>
  </si>
  <si>
    <t xml:space="preserve">Flex cap behaviour untested; flexedOut is a manual config value, not calculated from live moves.</t>
  </si>
  <si>
    <t xml:space="preserve">Run B3 after F1 is fixed; decide how flexedOut is maintained.</t>
  </si>
  <si>
    <t xml:space="preserve">Decision-log write reported as logged, but the stored item has not been inspected yet.</t>
  </si>
  <si>
    <t xml:space="preserve">Open mc-dev-decision-log and confirm the item fields.</t>
  </si>
  <si>
    <t xml:space="preserve">F14</t>
  </si>
  <si>
    <t xml:space="preserve">No MOVE has been produced in any run so far.</t>
  </si>
  <si>
    <t xml:space="preserve">All</t>
  </si>
  <si>
    <t xml:space="preserve">Resolve F1, then re-run A1.</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</si>
</sst>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FFC7CE"/>
          <bgColor rgb="FF000000"/>
        </patternFill>
      </fill>
    </dxf>
    <dxf>
      <fill>
        <patternFill patternType="solid">
          <fgColor rgb="FFFFEB9C"/>
          <bgColor rgb="FF000000"/>
        </patternFill>
      </fill>
    </dxf>
    <dxf>
      <fill>
        <patternFill>
          <bgColor rgb="FFC6EFCE"/>
        </patternFill>
      </fill>
    </dxf>
    <dxf>
      <fill>
        <patternFill>
          <bgColor rgb="FFFFC7CE"/>
        </patternFill>
      </fill>
    </dxf>
    <dxf>
      <fill>
        <patternFill>
          <bgColor rgb="FFFFEB9C"/>
        </patternFill>
      </fill>
    </dxf>
    <dxf>
      <fill>
        <patternFill>
          <bgColor rgb="FFD9D9D9"/>
        </patternFill>
      </fill>
    </dxf>
    <dxf>
      <fill>
        <patternFill patternType="solid">
          <fgColor rgb="FFF8CBAD"/>
          <bgColor rgb="FF000000"/>
        </patternFill>
      </fill>
    </dxf>
    <dxf>
      <fill>
        <patternFill>
          <bgColor rgb="FFF8CBAD"/>
        </patternFill>
      </fill>
    </dxf>
    <dxf>
      <fill>
        <patternFill patternType="solid">
          <fgColor rgb="FFE2EFDA"/>
          <bgColor rgb="FF000000"/>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2EFDA"/>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C7CE"/>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3" min="3" style="0" width="56"/>
    <col collapsed="false" customWidth="true" hidden="false" outlineLevel="0" max="4" min="4" style="0" width="36"/>
    <col collapsed="false" customWidth="true" hidden="false" outlineLevel="0" max="6" min="5"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c r="B5" s="4"/>
      <c r="C5" s="4"/>
      <c r="D5" s="4"/>
      <c r="E5" s="4"/>
      <c r="F5" s="4"/>
    </row>
    <row r="6" customFormat="false" ht="30" hidden="false" customHeight="true" outlineLevel="0" collapsed="false">
      <c r="A6" s="4" t="s">
        <v>4</v>
      </c>
      <c r="B6" s="4"/>
      <c r="C6" s="4"/>
      <c r="D6" s="4"/>
      <c r="E6" s="4"/>
      <c r="F6" s="4"/>
    </row>
    <row r="7" customFormat="false" ht="30" hidden="false" customHeight="true" outlineLevel="0" collapsed="false">
      <c r="A7" s="4" t="s">
        <v>5</v>
      </c>
      <c r="B7" s="4"/>
      <c r="C7" s="4"/>
      <c r="D7" s="4"/>
      <c r="E7" s="4"/>
      <c r="F7" s="4"/>
    </row>
    <row r="9" customFormat="false" ht="15" hidden="false" customHeight="false" outlineLevel="0" collapsed="false">
      <c r="A9" s="3" t="s">
        <v>6</v>
      </c>
      <c r="D9" s="3" t="s">
        <v>7</v>
      </c>
    </row>
    <row r="10" customFormat="false" ht="15" hidden="false" customHeight="false" outlineLevel="0" collapsed="false">
      <c r="A10" s="2" t="s">
        <v>8</v>
      </c>
      <c r="B10" s="2" t="n">
        <f aca="false">COUNTIF('Test Log'!$I$2:$I$23,A10)</f>
        <v>14</v>
      </c>
      <c r="D10" s="2" t="s">
        <v>9</v>
      </c>
      <c r="E10" s="2" t="n">
        <f aca="false">COUNTIF('Gemma Scenarios'!$D$2:$D$16,D10)</f>
        <v>3</v>
      </c>
    </row>
    <row r="11" customFormat="false" ht="15" hidden="false" customHeight="false" outlineLevel="0" collapsed="false">
      <c r="A11" s="2" t="s">
        <v>10</v>
      </c>
      <c r="B11" s="2" t="n">
        <f aca="false">COUNTIF('Test Log'!$I$2:$I$23,A11)</f>
        <v>1</v>
      </c>
      <c r="D11" s="2" t="s">
        <v>11</v>
      </c>
      <c r="E11" s="2" t="n">
        <f aca="false">COUNTIF('Gemma Scenarios'!$D$2:$D$16,D11)</f>
        <v>4</v>
      </c>
    </row>
    <row r="12" customFormat="false" ht="15" hidden="false" customHeight="false" outlineLevel="0" collapsed="false">
      <c r="A12" s="2" t="s">
        <v>12</v>
      </c>
      <c r="B12" s="2" t="n">
        <f aca="false">COUNTIF('Test Log'!$I$2:$I$23,A12)</f>
        <v>2</v>
      </c>
      <c r="D12" s="2" t="s">
        <v>13</v>
      </c>
      <c r="E12" s="2" t="n">
        <f aca="false">COUNTIF('Gemma Scenarios'!$D$2:$D$16,D12)</f>
        <v>8</v>
      </c>
    </row>
    <row r="13" customFormat="false" ht="15" hidden="false" customHeight="false" outlineLevel="0" collapsed="false">
      <c r="A13" s="2" t="s">
        <v>14</v>
      </c>
      <c r="B13" s="2" t="n">
        <f aca="false">COUNTIF('Test Log'!$I$2:$I$23,A13)</f>
        <v>2</v>
      </c>
      <c r="D13" s="3" t="s">
        <v>15</v>
      </c>
      <c r="E13" s="3" t="n">
        <f aca="false">SUM(E10:E12)</f>
        <v>15</v>
      </c>
    </row>
    <row r="14" customFormat="false" ht="15" hidden="false" customHeight="false" outlineLevel="0" collapsed="false">
      <c r="A14" s="2" t="s">
        <v>16</v>
      </c>
      <c r="B14" s="2" t="n">
        <f aca="false">COUNTIF('Test Log'!$I$2:$I$23,A14)</f>
        <v>1</v>
      </c>
    </row>
    <row r="15" customFormat="false" ht="15" hidden="false" customHeight="false" outlineLevel="0" collapsed="false">
      <c r="A15" s="2" t="s">
        <v>17</v>
      </c>
      <c r="B15" s="2" t="n">
        <f aca="false">COUNTIF('Test Log'!$I$2:$I$23,A15)</f>
        <v>1</v>
      </c>
      <c r="D15" s="3" t="s">
        <v>18</v>
      </c>
      <c r="E15" s="3" t="n">
        <f aca="false">COUNTIF('Findings &amp; Actions'!$F$2:$F$15,"Open")</f>
        <v>13</v>
      </c>
    </row>
    <row r="16" customFormat="false" ht="15" hidden="false" customHeight="false" outlineLevel="0" collapsed="false">
      <c r="A16" s="2" t="s">
        <v>19</v>
      </c>
      <c r="B16" s="2" t="n">
        <f aca="false">COUNTIF('Test Log'!$I$2:$I$23,A16)</f>
        <v>1</v>
      </c>
      <c r="D16" s="2" t="s">
        <v>20</v>
      </c>
      <c r="E16" s="2" t="n">
        <f aca="false">COUNTIF('Findings &amp; Actions'!$F$2:$F$15,"Closed")</f>
        <v>1</v>
      </c>
    </row>
    <row r="17" customFormat="false" ht="15" hidden="false" customHeight="false" outlineLevel="0" collapsed="false">
      <c r="A17" s="3" t="s">
        <v>21</v>
      </c>
      <c r="B17" s="3" t="n">
        <f aca="false">SUM(B10:B16)</f>
        <v>22</v>
      </c>
    </row>
    <row r="18" customFormat="false" ht="15" hidden="false" customHeight="false" outlineLevel="0" collapsed="false">
      <c r="A18" s="2" t="s">
        <v>22</v>
      </c>
      <c r="B18" s="2" t="n">
        <f aca="false">COUNTA('Test Log'!$A$2:$A$23)</f>
        <v>22</v>
      </c>
    </row>
    <row r="21" customFormat="false" ht="15" hidden="false" customHeight="false" outlineLevel="0" collapsed="false">
      <c r="A21" s="3" t="s">
        <v>23</v>
      </c>
    </row>
    <row r="22" customFormat="false" ht="15" hidden="false" customHeight="false" outlineLevel="0" collapsed="false">
      <c r="A22" s="5" t="s">
        <v>24</v>
      </c>
      <c r="B22" s="5" t="s">
        <v>25</v>
      </c>
      <c r="C22" s="5" t="s">
        <v>26</v>
      </c>
      <c r="D22" s="5" t="s">
        <v>27</v>
      </c>
    </row>
    <row r="23" customFormat="false" ht="43.5" hidden="false" customHeight="true" outlineLevel="0" collapsed="false">
      <c r="A23" s="6" t="s">
        <v>28</v>
      </c>
      <c r="B23" s="6" t="s">
        <v>29</v>
      </c>
      <c r="C23" s="6" t="s">
        <v>30</v>
      </c>
      <c r="D23" s="6" t="s">
        <v>31</v>
      </c>
    </row>
    <row r="24" customFormat="false" ht="43.5" hidden="false" customHeight="true" outlineLevel="0" collapsed="false">
      <c r="A24" s="6" t="s">
        <v>32</v>
      </c>
      <c r="B24" s="6" t="s">
        <v>33</v>
      </c>
      <c r="C24" s="6" t="s">
        <v>34</v>
      </c>
      <c r="D24" s="6" t="s">
        <v>31</v>
      </c>
    </row>
    <row r="25" customFormat="false" ht="43.5" hidden="false" customHeight="true" outlineLevel="0" collapsed="false">
      <c r="A25" s="6" t="s">
        <v>35</v>
      </c>
      <c r="B25" s="6" t="s">
        <v>36</v>
      </c>
      <c r="C25" s="6" t="s">
        <v>37</v>
      </c>
      <c r="D25" s="6" t="s">
        <v>38</v>
      </c>
    </row>
    <row r="26" customFormat="false" ht="43.5" hidden="false" customHeight="true" outlineLevel="0" collapsed="false">
      <c r="A26" s="6" t="s">
        <v>39</v>
      </c>
      <c r="B26" s="6" t="s">
        <v>40</v>
      </c>
      <c r="C26" s="6" t="s">
        <v>41</v>
      </c>
      <c r="D26" s="6" t="s">
        <v>42</v>
      </c>
    </row>
    <row r="28" customFormat="false" ht="15" hidden="false" customHeight="false" outlineLevel="0" collapsed="false">
      <c r="A28" s="3" t="s">
        <v>43</v>
      </c>
    </row>
    <row r="29" customFormat="false" ht="27.75" hidden="false" customHeight="true" outlineLevel="0" collapsed="false">
      <c r="A29" s="4" t="s">
        <v>44</v>
      </c>
      <c r="B29" s="4"/>
      <c r="C29" s="4"/>
      <c r="D29" s="4"/>
      <c r="E29" s="4"/>
      <c r="F29" s="4"/>
    </row>
    <row r="30" customFormat="false" ht="27.75" hidden="false" customHeight="true" outlineLevel="0" collapsed="false">
      <c r="A30" s="4" t="s">
        <v>45</v>
      </c>
      <c r="B30" s="4"/>
      <c r="C30" s="4"/>
      <c r="D30" s="4"/>
      <c r="E30" s="4"/>
      <c r="F30" s="4"/>
    </row>
    <row r="31" customFormat="false" ht="27.75" hidden="false" customHeight="true" outlineLevel="0" collapsed="false">
      <c r="A31" s="4" t="s">
        <v>46</v>
      </c>
      <c r="B31" s="4"/>
      <c r="C31" s="4"/>
      <c r="D31" s="4"/>
      <c r="E31" s="4"/>
      <c r="F31" s="4"/>
    </row>
    <row r="32" customFormat="false" ht="27.75" hidden="false" customHeight="true" outlineLevel="0" collapsed="false">
      <c r="A32" s="4" t="s">
        <v>47</v>
      </c>
      <c r="B32" s="4"/>
      <c r="C32" s="4"/>
      <c r="D32" s="4"/>
      <c r="E32" s="4"/>
      <c r="F32" s="4"/>
    </row>
  </sheetData>
  <mergeCells count="7">
    <mergeCell ref="A5:F5"/>
    <mergeCell ref="A6:F6"/>
    <mergeCell ref="A7:F7"/>
    <mergeCell ref="A29:F29"/>
    <mergeCell ref="A30:F30"/>
    <mergeCell ref="A31:F31"/>
    <mergeCell ref="A32:F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30"/>
    <col collapsed="false" customWidth="true" hidden="false" outlineLevel="0" max="4" min="4" style="0" width="48"/>
    <col collapsed="false" customWidth="true" hidden="false" outlineLevel="0" max="5" min="5" style="0" width="34"/>
    <col collapsed="false" customWidth="true" hidden="false" outlineLevel="0" max="6" min="6" style="0" width="7"/>
    <col collapsed="false" customWidth="true" hidden="false" outlineLevel="0" max="7" min="7" style="0" width="11"/>
    <col collapsed="false" customWidth="true" hidden="false" outlineLevel="0" max="8" min="8" style="0" width="28"/>
    <col collapsed="false" customWidth="true" hidden="false" outlineLevel="0" max="9" min="9" style="0" width="14"/>
    <col collapsed="false" customWidth="true" hidden="false" outlineLevel="0" max="10" min="10" style="0" width="62"/>
    <col collapsed="false" customWidth="true" hidden="false" outlineLevel="0" max="11" min="11" style="0" width="11"/>
    <col collapsed="false" customWidth="true" hidden="false" outlineLevel="0" max="12" min="12" style="0" width="70"/>
  </cols>
  <sheetData>
    <row r="1" customFormat="false" ht="15" hidden="false" customHeight="false" outlineLevel="0" collapsed="false">
      <c r="A1" s="7" t="s">
        <v>48</v>
      </c>
      <c r="B1" s="7" t="s">
        <v>49</v>
      </c>
      <c r="C1" s="7" t="s">
        <v>50</v>
      </c>
      <c r="D1" s="7" t="s">
        <v>51</v>
      </c>
      <c r="E1" s="7" t="s">
        <v>52</v>
      </c>
      <c r="F1" s="7" t="s">
        <v>53</v>
      </c>
      <c r="G1" s="7" t="s">
        <v>54</v>
      </c>
      <c r="H1" s="7" t="s">
        <v>55</v>
      </c>
      <c r="I1" s="7" t="s">
        <v>56</v>
      </c>
      <c r="J1" s="7" t="s">
        <v>57</v>
      </c>
      <c r="K1" s="7" t="s">
        <v>58</v>
      </c>
      <c r="L1" s="7" t="s">
        <v>59</v>
      </c>
    </row>
    <row r="2" customFormat="false" ht="30" hidden="false" customHeight="true" outlineLevel="0" collapsed="false">
      <c r="A2" s="8" t="s">
        <v>60</v>
      </c>
      <c r="B2" s="6" t="s">
        <v>61</v>
      </c>
      <c r="C2" s="6" t="s">
        <v>62</v>
      </c>
      <c r="D2" s="9" t="s">
        <v>63</v>
      </c>
      <c r="E2" s="6" t="s">
        <v>64</v>
      </c>
      <c r="F2" s="6" t="s">
        <v>65</v>
      </c>
      <c r="G2" s="6" t="s">
        <v>66</v>
      </c>
      <c r="H2" s="6" t="s">
        <v>67</v>
      </c>
      <c r="I2" s="8" t="s">
        <v>8</v>
      </c>
      <c r="J2" s="6" t="s">
        <v>68</v>
      </c>
      <c r="K2" s="6"/>
      <c r="L2" s="9" t="s">
        <v>69</v>
      </c>
    </row>
    <row r="3" customFormat="false" ht="42.75" hidden="false" customHeight="true" outlineLevel="0" collapsed="false">
      <c r="A3" s="8" t="s">
        <v>70</v>
      </c>
      <c r="B3" s="6" t="s">
        <v>71</v>
      </c>
      <c r="C3" s="6" t="s">
        <v>72</v>
      </c>
      <c r="D3" s="9" t="s">
        <v>73</v>
      </c>
      <c r="E3" s="6" t="s">
        <v>74</v>
      </c>
      <c r="F3" s="6" t="s">
        <v>65</v>
      </c>
      <c r="G3" s="6" t="s">
        <v>66</v>
      </c>
      <c r="H3" s="6" t="s">
        <v>75</v>
      </c>
      <c r="I3" s="8" t="s">
        <v>8</v>
      </c>
      <c r="J3" s="6" t="s">
        <v>76</v>
      </c>
      <c r="K3" s="6"/>
      <c r="L3" s="9" t="s">
        <v>77</v>
      </c>
    </row>
    <row r="4" customFormat="false" ht="55.5" hidden="false" customHeight="true" outlineLevel="0" collapsed="false">
      <c r="A4" s="8" t="s">
        <v>78</v>
      </c>
      <c r="B4" s="6" t="s">
        <v>79</v>
      </c>
      <c r="C4" s="6" t="s">
        <v>80</v>
      </c>
      <c r="D4" s="9" t="s">
        <v>81</v>
      </c>
      <c r="E4" s="6" t="s">
        <v>82</v>
      </c>
      <c r="F4" s="6" t="s">
        <v>83</v>
      </c>
      <c r="G4" s="6" t="s">
        <v>84</v>
      </c>
      <c r="H4" s="6" t="s">
        <v>85</v>
      </c>
      <c r="I4" s="8" t="s">
        <v>17</v>
      </c>
      <c r="J4" s="6" t="s">
        <v>86</v>
      </c>
      <c r="K4" s="6" t="s">
        <v>87</v>
      </c>
      <c r="L4" s="9" t="s">
        <v>88</v>
      </c>
    </row>
    <row r="5" customFormat="false" ht="42.75" hidden="false" customHeight="true" outlineLevel="0" collapsed="false">
      <c r="A5" s="8" t="s">
        <v>89</v>
      </c>
      <c r="B5" s="6" t="s">
        <v>90</v>
      </c>
      <c r="C5" s="6" t="s">
        <v>91</v>
      </c>
      <c r="D5" s="9" t="s">
        <v>81</v>
      </c>
      <c r="E5" s="6" t="s">
        <v>92</v>
      </c>
      <c r="F5" s="6" t="s">
        <v>83</v>
      </c>
      <c r="G5" s="6" t="s">
        <v>84</v>
      </c>
      <c r="H5" s="6" t="s">
        <v>85</v>
      </c>
      <c r="I5" s="8" t="s">
        <v>8</v>
      </c>
      <c r="J5" s="6" t="s">
        <v>93</v>
      </c>
      <c r="K5" s="6"/>
      <c r="L5" s="9" t="s">
        <v>94</v>
      </c>
    </row>
    <row r="6" customFormat="false" ht="30" hidden="false" customHeight="true" outlineLevel="0" collapsed="false">
      <c r="A6" s="8" t="s">
        <v>95</v>
      </c>
      <c r="B6" s="6" t="s">
        <v>96</v>
      </c>
      <c r="C6" s="6" t="s">
        <v>97</v>
      </c>
      <c r="D6" s="9" t="s">
        <v>81</v>
      </c>
      <c r="E6" s="6" t="s">
        <v>98</v>
      </c>
      <c r="F6" s="6" t="s">
        <v>83</v>
      </c>
      <c r="G6" s="6" t="s">
        <v>84</v>
      </c>
      <c r="H6" s="6" t="s">
        <v>85</v>
      </c>
      <c r="I6" s="8" t="s">
        <v>8</v>
      </c>
      <c r="J6" s="6" t="s">
        <v>99</v>
      </c>
      <c r="K6" s="6"/>
      <c r="L6" s="9" t="s">
        <v>100</v>
      </c>
    </row>
    <row r="7" customFormat="false" ht="55.5" hidden="false" customHeight="true" outlineLevel="0" collapsed="false">
      <c r="A7" s="8" t="s">
        <v>101</v>
      </c>
      <c r="B7" s="6" t="s">
        <v>102</v>
      </c>
      <c r="C7" s="6" t="s">
        <v>103</v>
      </c>
      <c r="D7" s="9" t="s">
        <v>104</v>
      </c>
      <c r="E7" s="6" t="s">
        <v>105</v>
      </c>
      <c r="F7" s="6" t="s">
        <v>83</v>
      </c>
      <c r="G7" s="6" t="s">
        <v>84</v>
      </c>
      <c r="H7" s="6" t="s">
        <v>85</v>
      </c>
      <c r="I7" s="8" t="s">
        <v>8</v>
      </c>
      <c r="J7" s="6" t="s">
        <v>106</v>
      </c>
      <c r="K7" s="6"/>
      <c r="L7" s="9" t="s">
        <v>107</v>
      </c>
    </row>
    <row r="8" customFormat="false" ht="42.75" hidden="false" customHeight="true" outlineLevel="0" collapsed="false">
      <c r="A8" s="8" t="s">
        <v>108</v>
      </c>
      <c r="B8" s="6" t="s">
        <v>109</v>
      </c>
      <c r="C8" s="6" t="s">
        <v>110</v>
      </c>
      <c r="D8" s="9" t="s">
        <v>111</v>
      </c>
      <c r="E8" s="6" t="s">
        <v>112</v>
      </c>
      <c r="F8" s="6" t="s">
        <v>83</v>
      </c>
      <c r="G8" s="6" t="s">
        <v>84</v>
      </c>
      <c r="H8" s="6" t="s">
        <v>85</v>
      </c>
      <c r="I8" s="8" t="s">
        <v>8</v>
      </c>
      <c r="J8" s="6" t="s">
        <v>113</v>
      </c>
      <c r="K8" s="6"/>
      <c r="L8" s="9" t="s">
        <v>114</v>
      </c>
    </row>
    <row r="9" customFormat="false" ht="69" hidden="false" customHeight="true" outlineLevel="0" collapsed="false">
      <c r="A9" s="8" t="s">
        <v>115</v>
      </c>
      <c r="B9" s="6" t="s">
        <v>116</v>
      </c>
      <c r="C9" s="6" t="s">
        <v>117</v>
      </c>
      <c r="D9" s="9" t="s">
        <v>118</v>
      </c>
      <c r="E9" s="6" t="s">
        <v>119</v>
      </c>
      <c r="F9" s="6" t="s">
        <v>83</v>
      </c>
      <c r="G9" s="6" t="s">
        <v>84</v>
      </c>
      <c r="H9" s="6" t="s">
        <v>120</v>
      </c>
      <c r="I9" s="8" t="s">
        <v>10</v>
      </c>
      <c r="J9" s="6" t="s">
        <v>121</v>
      </c>
      <c r="K9" s="6" t="s">
        <v>122</v>
      </c>
      <c r="L9" s="9" t="s">
        <v>123</v>
      </c>
    </row>
    <row r="10" customFormat="false" ht="55.5" hidden="false" customHeight="true" outlineLevel="0" collapsed="false">
      <c r="A10" s="8" t="s">
        <v>124</v>
      </c>
      <c r="B10" s="6" t="s">
        <v>125</v>
      </c>
      <c r="C10" s="6" t="s">
        <v>126</v>
      </c>
      <c r="D10" s="9" t="s">
        <v>127</v>
      </c>
      <c r="E10" s="6" t="s">
        <v>128</v>
      </c>
      <c r="F10" s="6" t="s">
        <v>129</v>
      </c>
      <c r="G10" s="6" t="s">
        <v>130</v>
      </c>
      <c r="H10" s="6" t="s">
        <v>131</v>
      </c>
      <c r="I10" s="8" t="s">
        <v>16</v>
      </c>
      <c r="J10" s="6" t="s">
        <v>132</v>
      </c>
      <c r="K10" s="6" t="s">
        <v>133</v>
      </c>
      <c r="L10" s="9" t="s">
        <v>134</v>
      </c>
    </row>
    <row r="11" customFormat="false" ht="55.5" hidden="false" customHeight="true" outlineLevel="0" collapsed="false">
      <c r="A11" s="8" t="s">
        <v>135</v>
      </c>
      <c r="B11" s="6" t="s">
        <v>136</v>
      </c>
      <c r="C11" s="6" t="s">
        <v>137</v>
      </c>
      <c r="D11" s="9" t="s">
        <v>138</v>
      </c>
      <c r="E11" s="6" t="s">
        <v>139</v>
      </c>
      <c r="F11" s="6" t="s">
        <v>83</v>
      </c>
      <c r="G11" s="6" t="s">
        <v>84</v>
      </c>
      <c r="H11" s="6" t="s">
        <v>120</v>
      </c>
      <c r="I11" s="8" t="s">
        <v>8</v>
      </c>
      <c r="J11" s="6" t="s">
        <v>140</v>
      </c>
      <c r="K11" s="6" t="s">
        <v>141</v>
      </c>
      <c r="L11" s="9" t="s">
        <v>142</v>
      </c>
    </row>
    <row r="12" customFormat="false" ht="30" hidden="false" customHeight="true" outlineLevel="0" collapsed="false">
      <c r="A12" s="8" t="s">
        <v>143</v>
      </c>
      <c r="B12" s="6" t="s">
        <v>144</v>
      </c>
      <c r="C12" s="6" t="s">
        <v>145</v>
      </c>
      <c r="D12" s="9" t="s">
        <v>81</v>
      </c>
      <c r="E12" s="6" t="s">
        <v>146</v>
      </c>
      <c r="F12" s="6" t="s">
        <v>83</v>
      </c>
      <c r="G12" s="6" t="s">
        <v>84</v>
      </c>
      <c r="H12" s="6" t="s">
        <v>85</v>
      </c>
      <c r="I12" s="8" t="s">
        <v>8</v>
      </c>
      <c r="J12" s="6" t="s">
        <v>147</v>
      </c>
      <c r="K12" s="6"/>
      <c r="L12" s="9" t="s">
        <v>148</v>
      </c>
    </row>
    <row r="13" customFormat="false" ht="55.5" hidden="false" customHeight="true" outlineLevel="0" collapsed="false">
      <c r="A13" s="8" t="s">
        <v>149</v>
      </c>
      <c r="B13" s="6" t="s">
        <v>150</v>
      </c>
      <c r="C13" s="6" t="s">
        <v>151</v>
      </c>
      <c r="D13" s="9" t="s">
        <v>152</v>
      </c>
      <c r="E13" s="6" t="s">
        <v>153</v>
      </c>
      <c r="F13" s="6" t="s">
        <v>83</v>
      </c>
      <c r="G13" s="6" t="s">
        <v>84</v>
      </c>
      <c r="H13" s="6" t="s">
        <v>154</v>
      </c>
      <c r="I13" s="8" t="s">
        <v>8</v>
      </c>
      <c r="J13" s="6" t="s">
        <v>155</v>
      </c>
      <c r="K13" s="6" t="s">
        <v>156</v>
      </c>
      <c r="L13" s="9" t="s">
        <v>157</v>
      </c>
    </row>
    <row r="14" customFormat="false" ht="55.5" hidden="false" customHeight="true" outlineLevel="0" collapsed="false">
      <c r="A14" s="8" t="s">
        <v>158</v>
      </c>
      <c r="B14" s="6" t="s">
        <v>159</v>
      </c>
      <c r="C14" s="6" t="s">
        <v>160</v>
      </c>
      <c r="D14" s="9" t="s">
        <v>161</v>
      </c>
      <c r="E14" s="6" t="s">
        <v>162</v>
      </c>
      <c r="F14" s="6" t="s">
        <v>83</v>
      </c>
      <c r="G14" s="6" t="s">
        <v>84</v>
      </c>
      <c r="H14" s="6" t="s">
        <v>85</v>
      </c>
      <c r="I14" s="8" t="s">
        <v>14</v>
      </c>
      <c r="J14" s="6" t="s">
        <v>163</v>
      </c>
      <c r="K14" s="6" t="s">
        <v>156</v>
      </c>
      <c r="L14" s="9" t="s">
        <v>164</v>
      </c>
    </row>
    <row r="15" customFormat="false" ht="30" hidden="false" customHeight="true" outlineLevel="0" collapsed="false">
      <c r="A15" s="8" t="s">
        <v>165</v>
      </c>
      <c r="B15" s="6" t="s">
        <v>166</v>
      </c>
      <c r="C15" s="6" t="s">
        <v>167</v>
      </c>
      <c r="D15" s="9" t="s">
        <v>168</v>
      </c>
      <c r="E15" s="6" t="s">
        <v>169</v>
      </c>
      <c r="F15" s="6" t="s">
        <v>170</v>
      </c>
      <c r="G15" s="6" t="s">
        <v>170</v>
      </c>
      <c r="H15" s="6" t="s">
        <v>170</v>
      </c>
      <c r="I15" s="8" t="s">
        <v>19</v>
      </c>
      <c r="J15" s="6" t="s">
        <v>171</v>
      </c>
      <c r="K15" s="6" t="s">
        <v>172</v>
      </c>
      <c r="L15" s="9" t="s">
        <v>173</v>
      </c>
    </row>
    <row r="16" customFormat="false" ht="42.75" hidden="false" customHeight="true" outlineLevel="0" collapsed="false">
      <c r="A16" s="8" t="s">
        <v>174</v>
      </c>
      <c r="B16" s="6" t="s">
        <v>175</v>
      </c>
      <c r="C16" s="6" t="s">
        <v>176</v>
      </c>
      <c r="D16" s="9" t="s">
        <v>177</v>
      </c>
      <c r="E16" s="6" t="s">
        <v>178</v>
      </c>
      <c r="F16" s="6" t="s">
        <v>83</v>
      </c>
      <c r="G16" s="6" t="s">
        <v>84</v>
      </c>
      <c r="H16" s="6" t="s">
        <v>85</v>
      </c>
      <c r="I16" s="8" t="s">
        <v>14</v>
      </c>
      <c r="J16" s="6" t="s">
        <v>179</v>
      </c>
      <c r="K16" s="6" t="s">
        <v>156</v>
      </c>
      <c r="L16" s="9" t="s">
        <v>180</v>
      </c>
    </row>
    <row r="17" customFormat="false" ht="30" hidden="false" customHeight="true" outlineLevel="0" collapsed="false">
      <c r="A17" s="8" t="s">
        <v>181</v>
      </c>
      <c r="B17" s="6" t="s">
        <v>182</v>
      </c>
      <c r="C17" s="6" t="s">
        <v>183</v>
      </c>
      <c r="D17" s="9" t="s">
        <v>184</v>
      </c>
      <c r="E17" s="6" t="s">
        <v>185</v>
      </c>
      <c r="F17" s="6" t="s">
        <v>83</v>
      </c>
      <c r="G17" s="6" t="s">
        <v>84</v>
      </c>
      <c r="H17" s="6" t="s">
        <v>85</v>
      </c>
      <c r="I17" s="8" t="s">
        <v>8</v>
      </c>
      <c r="J17" s="6" t="s">
        <v>186</v>
      </c>
      <c r="K17" s="6"/>
      <c r="L17" s="9" t="s">
        <v>187</v>
      </c>
    </row>
    <row r="18" customFormat="false" ht="55.5" hidden="false" customHeight="true" outlineLevel="0" collapsed="false">
      <c r="A18" s="8" t="s">
        <v>188</v>
      </c>
      <c r="B18" s="6" t="s">
        <v>189</v>
      </c>
      <c r="C18" s="6" t="s">
        <v>190</v>
      </c>
      <c r="D18" s="9" t="s">
        <v>191</v>
      </c>
      <c r="E18" s="6" t="s">
        <v>192</v>
      </c>
      <c r="F18" s="6" t="s">
        <v>83</v>
      </c>
      <c r="G18" s="6" t="s">
        <v>84</v>
      </c>
      <c r="H18" s="6" t="s">
        <v>120</v>
      </c>
      <c r="I18" s="8" t="s">
        <v>8</v>
      </c>
      <c r="J18" s="6" t="s">
        <v>193</v>
      </c>
      <c r="K18" s="6" t="s">
        <v>194</v>
      </c>
      <c r="L18" s="9" t="s">
        <v>195</v>
      </c>
    </row>
    <row r="19" customFormat="false" ht="42.75" hidden="false" customHeight="true" outlineLevel="0" collapsed="false">
      <c r="A19" s="8" t="s">
        <v>196</v>
      </c>
      <c r="B19" s="6" t="s">
        <v>197</v>
      </c>
      <c r="C19" s="6" t="s">
        <v>198</v>
      </c>
      <c r="D19" s="9" t="s">
        <v>199</v>
      </c>
      <c r="E19" s="6" t="s">
        <v>200</v>
      </c>
      <c r="F19" s="6" t="s">
        <v>83</v>
      </c>
      <c r="G19" s="6" t="s">
        <v>84</v>
      </c>
      <c r="H19" s="6" t="s">
        <v>85</v>
      </c>
      <c r="I19" s="8" t="s">
        <v>8</v>
      </c>
      <c r="J19" s="6" t="s">
        <v>201</v>
      </c>
      <c r="K19" s="6" t="s">
        <v>202</v>
      </c>
      <c r="L19" s="9" t="s">
        <v>203</v>
      </c>
    </row>
    <row r="20" customFormat="false" ht="30" hidden="false" customHeight="true" outlineLevel="0" collapsed="false">
      <c r="A20" s="8" t="s">
        <v>204</v>
      </c>
      <c r="B20" s="6" t="s">
        <v>205</v>
      </c>
      <c r="C20" s="6" t="s">
        <v>206</v>
      </c>
      <c r="D20" s="9" t="s">
        <v>207</v>
      </c>
      <c r="E20" s="6" t="s">
        <v>208</v>
      </c>
      <c r="F20" s="6" t="s">
        <v>65</v>
      </c>
      <c r="G20" s="6" t="s">
        <v>66</v>
      </c>
      <c r="H20" s="6" t="s">
        <v>209</v>
      </c>
      <c r="I20" s="8" t="s">
        <v>8</v>
      </c>
      <c r="J20" s="6" t="s">
        <v>210</v>
      </c>
      <c r="K20" s="6"/>
      <c r="L20" s="9" t="s">
        <v>211</v>
      </c>
    </row>
    <row r="21" customFormat="false" ht="42.75" hidden="false" customHeight="true" outlineLevel="0" collapsed="false">
      <c r="A21" s="8" t="s">
        <v>212</v>
      </c>
      <c r="B21" s="6" t="s">
        <v>213</v>
      </c>
      <c r="C21" s="6" t="s">
        <v>214</v>
      </c>
      <c r="D21" s="9" t="s">
        <v>215</v>
      </c>
      <c r="E21" s="6" t="s">
        <v>216</v>
      </c>
      <c r="F21" s="6" t="s">
        <v>83</v>
      </c>
      <c r="G21" s="6" t="s">
        <v>84</v>
      </c>
      <c r="H21" s="6" t="s">
        <v>85</v>
      </c>
      <c r="I21" s="8" t="s">
        <v>8</v>
      </c>
      <c r="J21" s="6" t="s">
        <v>217</v>
      </c>
      <c r="K21" s="6" t="s">
        <v>218</v>
      </c>
      <c r="L21" s="9" t="s">
        <v>219</v>
      </c>
    </row>
    <row r="22" customFormat="false" ht="69" hidden="false" customHeight="true" outlineLevel="0" collapsed="false">
      <c r="A22" s="8" t="s">
        <v>220</v>
      </c>
      <c r="B22" s="6" t="s">
        <v>221</v>
      </c>
      <c r="C22" s="6" t="s">
        <v>222</v>
      </c>
      <c r="D22" s="9" t="s">
        <v>223</v>
      </c>
      <c r="E22" s="6" t="s">
        <v>224</v>
      </c>
      <c r="F22" s="6" t="s">
        <v>83</v>
      </c>
      <c r="G22" s="6" t="s">
        <v>84</v>
      </c>
      <c r="H22" s="6" t="s">
        <v>120</v>
      </c>
      <c r="I22" s="8" t="s">
        <v>12</v>
      </c>
      <c r="J22" s="6" t="s">
        <v>225</v>
      </c>
      <c r="K22" s="6" t="s">
        <v>226</v>
      </c>
      <c r="L22" s="9" t="s">
        <v>227</v>
      </c>
    </row>
    <row r="23" customFormat="false" ht="81.75" hidden="false" customHeight="true" outlineLevel="0" collapsed="false">
      <c r="A23" s="8" t="s">
        <v>228</v>
      </c>
      <c r="B23" s="6" t="s">
        <v>229</v>
      </c>
      <c r="C23" s="6" t="s">
        <v>230</v>
      </c>
      <c r="D23" s="9" t="s">
        <v>231</v>
      </c>
      <c r="E23" s="6" t="s">
        <v>232</v>
      </c>
      <c r="F23" s="6" t="s">
        <v>83</v>
      </c>
      <c r="G23" s="6" t="s">
        <v>84</v>
      </c>
      <c r="H23" s="6" t="s">
        <v>154</v>
      </c>
      <c r="I23" s="8" t="s">
        <v>12</v>
      </c>
      <c r="J23" s="6" t="s">
        <v>233</v>
      </c>
      <c r="K23" s="6" t="s">
        <v>234</v>
      </c>
      <c r="L23" s="9" t="s">
        <v>235</v>
      </c>
    </row>
  </sheetData>
  <autoFilter ref="A1:L23"/>
  <conditionalFormatting sqref="I2:I23">
    <cfRule type="expression" priority="2" aboveAverage="0" equalAverage="0" bottom="0" percent="0" rank="0" text="" dxfId="7">
      <formula>ISNUMBER(SEARCH("PASS",I2))</formula>
    </cfRule>
    <cfRule type="expression" priority="3" aboveAverage="0" equalAverage="0" bottom="0" percent="0" rank="0" text="" dxfId="8">
      <formula>ISNUMBER(SEARCH("BLOCKED",I2))</formula>
    </cfRule>
    <cfRule type="expression" priority="4" aboveAverage="0" equalAverage="0" bottom="0" percent="0" rank="0" text="" dxfId="8">
      <formula>ISNUMBER(SEARCH("FAIL",I2))</formula>
    </cfRule>
    <cfRule type="expression" priority="5" aboveAverage="0" equalAverage="0" bottom="0" percent="0" rank="0" text="" dxfId="8">
      <formula>ISNUMBER(SEARCH("NO RESPONSE",I2))</formula>
    </cfRule>
    <cfRule type="expression" priority="6" aboveAverage="0" equalAverage="0" bottom="0" percent="0" rank="0" text="" dxfId="9">
      <formula>ISNUMBER(SEARCH("PARTIAL",I2))</formula>
    </cfRule>
    <cfRule type="expression" priority="7" aboveAverage="0" equalAverage="0" bottom="0" percent="0" rank="0" text="" dxfId="9">
      <formula>ISNUMBER(SEARCH("RE-RUN",I2))</formula>
    </cfRule>
    <cfRule type="expression" priority="8" aboveAverage="0" equalAverage="0" bottom="0" percent="0" rank="0" text="" dxfId="10">
      <formula>ISNUMBER(SEARCH("NOT RUN",I2))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60"/>
    <col collapsed="false" customWidth="true" hidden="false" outlineLevel="0" max="4" min="4" style="0" width="11"/>
    <col collapsed="false" customWidth="true" hidden="false" outlineLevel="0" max="5" min="5" style="0" width="18"/>
    <col collapsed="false" customWidth="true" hidden="false" outlineLevel="0" max="6" min="6" style="0" width="26"/>
    <col collapsed="false" customWidth="true" hidden="false" outlineLevel="0" max="7" min="7" style="0" width="66"/>
    <col collapsed="false" customWidth="true" hidden="false" outlineLevel="0" max="8" min="8" style="0" width="44"/>
  </cols>
  <sheetData>
    <row r="1" customFormat="false" ht="23.85" hidden="false" customHeight="false" outlineLevel="0" collapsed="false">
      <c r="A1" s="7" t="s">
        <v>236</v>
      </c>
      <c r="B1" s="7" t="s">
        <v>237</v>
      </c>
      <c r="C1" s="7" t="s">
        <v>238</v>
      </c>
      <c r="D1" s="7" t="s">
        <v>239</v>
      </c>
      <c r="E1" s="7" t="s">
        <v>240</v>
      </c>
      <c r="F1" s="7" t="s">
        <v>241</v>
      </c>
      <c r="G1" s="7" t="s">
        <v>242</v>
      </c>
      <c r="H1" s="7" t="s">
        <v>243</v>
      </c>
    </row>
    <row r="2" customFormat="false" ht="42.75" hidden="false" customHeight="true" outlineLevel="0" collapsed="false">
      <c r="A2" s="8" t="n">
        <v>1</v>
      </c>
      <c r="B2" s="6" t="s">
        <v>244</v>
      </c>
      <c r="C2" s="6" t="s">
        <v>245</v>
      </c>
      <c r="D2" s="6" t="s">
        <v>11</v>
      </c>
      <c r="E2" s="6" t="s">
        <v>246</v>
      </c>
      <c r="F2" s="6" t="s">
        <v>247</v>
      </c>
      <c r="G2" s="6" t="s">
        <v>248</v>
      </c>
      <c r="H2" s="6" t="s">
        <v>249</v>
      </c>
    </row>
    <row r="3" customFormat="false" ht="42.75" hidden="false" customHeight="true" outlineLevel="0" collapsed="false">
      <c r="A3" s="8" t="n">
        <v>2</v>
      </c>
      <c r="B3" s="6" t="s">
        <v>250</v>
      </c>
      <c r="C3" s="6" t="s">
        <v>251</v>
      </c>
      <c r="D3" s="6" t="s">
        <v>13</v>
      </c>
      <c r="E3" s="6" t="s">
        <v>170</v>
      </c>
      <c r="F3" s="6" t="s">
        <v>252</v>
      </c>
      <c r="G3" s="6" t="s">
        <v>253</v>
      </c>
      <c r="H3" s="6" t="s">
        <v>254</v>
      </c>
    </row>
    <row r="4" customFormat="false" ht="42.75" hidden="false" customHeight="true" outlineLevel="0" collapsed="false">
      <c r="A4" s="8" t="n">
        <v>3</v>
      </c>
      <c r="B4" s="6" t="s">
        <v>255</v>
      </c>
      <c r="C4" s="6" t="s">
        <v>256</v>
      </c>
      <c r="D4" s="6" t="s">
        <v>11</v>
      </c>
      <c r="E4" s="6" t="s">
        <v>257</v>
      </c>
      <c r="F4" s="6" t="s">
        <v>258</v>
      </c>
      <c r="G4" s="6" t="s">
        <v>259</v>
      </c>
      <c r="H4" s="6" t="s">
        <v>260</v>
      </c>
    </row>
    <row r="5" customFormat="false" ht="42.75" hidden="false" customHeight="true" outlineLevel="0" collapsed="false">
      <c r="A5" s="8" t="n">
        <v>4</v>
      </c>
      <c r="B5" s="6" t="s">
        <v>255</v>
      </c>
      <c r="C5" s="6" t="s">
        <v>261</v>
      </c>
      <c r="D5" s="6" t="s">
        <v>11</v>
      </c>
      <c r="E5" s="6" t="s">
        <v>170</v>
      </c>
      <c r="F5" s="6" t="s">
        <v>262</v>
      </c>
      <c r="G5" s="6" t="s">
        <v>263</v>
      </c>
      <c r="H5" s="6" t="s">
        <v>264</v>
      </c>
    </row>
    <row r="6" customFormat="false" ht="42.75" hidden="false" customHeight="true" outlineLevel="0" collapsed="false">
      <c r="A6" s="8" t="n">
        <v>5</v>
      </c>
      <c r="B6" s="6" t="s">
        <v>265</v>
      </c>
      <c r="C6" s="6" t="s">
        <v>266</v>
      </c>
      <c r="D6" s="6" t="s">
        <v>9</v>
      </c>
      <c r="E6" s="6" t="s">
        <v>267</v>
      </c>
      <c r="F6" s="6" t="s">
        <v>268</v>
      </c>
      <c r="G6" s="6" t="s">
        <v>269</v>
      </c>
      <c r="H6" s="6" t="s">
        <v>270</v>
      </c>
    </row>
    <row r="7" customFormat="false" ht="55.5" hidden="false" customHeight="true" outlineLevel="0" collapsed="false">
      <c r="A7" s="8" t="n">
        <v>6</v>
      </c>
      <c r="B7" s="6" t="s">
        <v>271</v>
      </c>
      <c r="C7" s="6" t="s">
        <v>272</v>
      </c>
      <c r="D7" s="6" t="s">
        <v>13</v>
      </c>
      <c r="E7" s="6" t="s">
        <v>170</v>
      </c>
      <c r="F7" s="6" t="s">
        <v>273</v>
      </c>
      <c r="G7" s="6" t="s">
        <v>274</v>
      </c>
      <c r="H7" s="6" t="s">
        <v>275</v>
      </c>
    </row>
    <row r="8" customFormat="false" ht="42.75" hidden="false" customHeight="true" outlineLevel="0" collapsed="false">
      <c r="A8" s="8" t="n">
        <v>7</v>
      </c>
      <c r="B8" s="6" t="s">
        <v>276</v>
      </c>
      <c r="C8" s="6" t="s">
        <v>277</v>
      </c>
      <c r="D8" s="6" t="s">
        <v>13</v>
      </c>
      <c r="E8" s="6" t="s">
        <v>170</v>
      </c>
      <c r="F8" s="6" t="s">
        <v>278</v>
      </c>
      <c r="G8" s="6" t="s">
        <v>279</v>
      </c>
      <c r="H8" s="6" t="s">
        <v>280</v>
      </c>
    </row>
    <row r="9" customFormat="false" ht="30" hidden="false" customHeight="true" outlineLevel="0" collapsed="false">
      <c r="A9" s="8" t="n">
        <v>8</v>
      </c>
      <c r="B9" s="6" t="s">
        <v>276</v>
      </c>
      <c r="C9" s="6" t="s">
        <v>281</v>
      </c>
      <c r="D9" s="6" t="s">
        <v>13</v>
      </c>
      <c r="E9" s="6" t="s">
        <v>170</v>
      </c>
      <c r="F9" s="6" t="s">
        <v>282</v>
      </c>
      <c r="G9" s="6" t="s">
        <v>283</v>
      </c>
      <c r="H9" s="6" t="s">
        <v>284</v>
      </c>
    </row>
    <row r="10" customFormat="false" ht="42.75" hidden="false" customHeight="true" outlineLevel="0" collapsed="false">
      <c r="A10" s="8" t="n">
        <v>9</v>
      </c>
      <c r="B10" s="6" t="s">
        <v>285</v>
      </c>
      <c r="C10" s="6" t="s">
        <v>286</v>
      </c>
      <c r="D10" s="6" t="s">
        <v>13</v>
      </c>
      <c r="E10" s="6" t="s">
        <v>170</v>
      </c>
      <c r="F10" s="6" t="s">
        <v>278</v>
      </c>
      <c r="G10" s="6" t="s">
        <v>287</v>
      </c>
      <c r="H10" s="6" t="s">
        <v>288</v>
      </c>
    </row>
    <row r="11" customFormat="false" ht="42.75" hidden="false" customHeight="true" outlineLevel="0" collapsed="false">
      <c r="A11" s="8" t="n">
        <v>10</v>
      </c>
      <c r="B11" s="6" t="s">
        <v>285</v>
      </c>
      <c r="C11" s="6" t="s">
        <v>289</v>
      </c>
      <c r="D11" s="6" t="s">
        <v>11</v>
      </c>
      <c r="E11" s="6" t="s">
        <v>170</v>
      </c>
      <c r="F11" s="6" t="s">
        <v>290</v>
      </c>
      <c r="G11" s="6" t="s">
        <v>291</v>
      </c>
      <c r="H11" s="6" t="s">
        <v>292</v>
      </c>
    </row>
    <row r="12" customFormat="false" ht="55.5" hidden="false" customHeight="true" outlineLevel="0" collapsed="false">
      <c r="A12" s="8" t="n">
        <v>11</v>
      </c>
      <c r="B12" s="6" t="s">
        <v>285</v>
      </c>
      <c r="C12" s="6" t="s">
        <v>293</v>
      </c>
      <c r="D12" s="6" t="s">
        <v>9</v>
      </c>
      <c r="E12" s="6" t="s">
        <v>294</v>
      </c>
      <c r="F12" s="6" t="s">
        <v>295</v>
      </c>
      <c r="G12" s="6" t="s">
        <v>296</v>
      </c>
      <c r="H12" s="6" t="s">
        <v>297</v>
      </c>
    </row>
    <row r="13" customFormat="false" ht="30" hidden="false" customHeight="true" outlineLevel="0" collapsed="false">
      <c r="A13" s="8" t="n">
        <v>12</v>
      </c>
      <c r="B13" s="6" t="s">
        <v>285</v>
      </c>
      <c r="C13" s="6" t="s">
        <v>298</v>
      </c>
      <c r="D13" s="6" t="s">
        <v>13</v>
      </c>
      <c r="E13" s="6" t="s">
        <v>170</v>
      </c>
      <c r="F13" s="6" t="s">
        <v>278</v>
      </c>
      <c r="G13" s="6" t="s">
        <v>299</v>
      </c>
      <c r="H13" s="6" t="s">
        <v>300</v>
      </c>
    </row>
    <row r="14" customFormat="false" ht="55.5" hidden="false" customHeight="true" outlineLevel="0" collapsed="false">
      <c r="A14" s="8" t="n">
        <v>13</v>
      </c>
      <c r="B14" s="6" t="s">
        <v>301</v>
      </c>
      <c r="C14" s="6" t="s">
        <v>302</v>
      </c>
      <c r="D14" s="6" t="s">
        <v>13</v>
      </c>
      <c r="E14" s="6" t="s">
        <v>170</v>
      </c>
      <c r="F14" s="6" t="s">
        <v>278</v>
      </c>
      <c r="G14" s="6" t="s">
        <v>303</v>
      </c>
      <c r="H14" s="6" t="s">
        <v>304</v>
      </c>
    </row>
    <row r="15" customFormat="false" ht="42.75" hidden="false" customHeight="true" outlineLevel="0" collapsed="false">
      <c r="A15" s="8" t="n">
        <v>14</v>
      </c>
      <c r="B15" s="6" t="s">
        <v>305</v>
      </c>
      <c r="C15" s="6" t="s">
        <v>306</v>
      </c>
      <c r="D15" s="6" t="s">
        <v>9</v>
      </c>
      <c r="E15" s="6" t="s">
        <v>307</v>
      </c>
      <c r="F15" s="6" t="s">
        <v>308</v>
      </c>
      <c r="G15" s="6" t="s">
        <v>309</v>
      </c>
      <c r="H15" s="6" t="s">
        <v>310</v>
      </c>
    </row>
    <row r="16" customFormat="false" ht="42.75" hidden="false" customHeight="true" outlineLevel="0" collapsed="false">
      <c r="A16" s="8" t="n">
        <v>15</v>
      </c>
      <c r="B16" s="6" t="s">
        <v>285</v>
      </c>
      <c r="C16" s="6" t="s">
        <v>311</v>
      </c>
      <c r="D16" s="6" t="s">
        <v>13</v>
      </c>
      <c r="E16" s="6" t="s">
        <v>170</v>
      </c>
      <c r="F16" s="6" t="s">
        <v>278</v>
      </c>
      <c r="G16" s="6" t="s">
        <v>312</v>
      </c>
      <c r="H16" s="6" t="s">
        <v>313</v>
      </c>
    </row>
  </sheetData>
  <autoFilter ref="A1:H16"/>
  <conditionalFormatting sqref="D2:D16">
    <cfRule type="expression" priority="2" aboveAverage="0" equalAverage="0" bottom="0" percent="0" rank="0" text="" dxfId="7">
      <formula>D2="Yes"</formula>
    </cfRule>
    <cfRule type="expression" priority="3" aboveAverage="0" equalAverage="0" bottom="0" percent="0" rank="0" text="" dxfId="9">
      <formula>D2="Partly"</formula>
    </cfRule>
    <cfRule type="expression" priority="4" aboveAverage="0" equalAverage="0" bottom="0" percent="0" rank="0" text="" dxfId="12">
      <formula>D2="No"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4"/>
    <col collapsed="false" customWidth="true" hidden="false" outlineLevel="0" max="3" min="3" style="0" width="22"/>
    <col collapsed="false" customWidth="true" hidden="false" outlineLevel="0" max="4" min="4" style="0" width="10"/>
    <col collapsed="false" customWidth="true" hidden="false" outlineLevel="0" max="5" min="5" style="0" width="72"/>
    <col collapsed="false" customWidth="true" hidden="false" outlineLevel="0" max="6" min="6" style="0" width="10"/>
  </cols>
  <sheetData>
    <row r="1" customFormat="false" ht="15" hidden="false" customHeight="false" outlineLevel="0" collapsed="false">
      <c r="A1" s="7" t="s">
        <v>314</v>
      </c>
      <c r="B1" s="7" t="s">
        <v>315</v>
      </c>
      <c r="C1" s="7" t="s">
        <v>316</v>
      </c>
      <c r="D1" s="7" t="s">
        <v>305</v>
      </c>
      <c r="E1" s="7" t="s">
        <v>317</v>
      </c>
      <c r="F1" s="7" t="s">
        <v>27</v>
      </c>
    </row>
    <row r="2" customFormat="false" ht="30" hidden="false" customHeight="true" outlineLevel="0" collapsed="false">
      <c r="A2" s="8" t="s">
        <v>318</v>
      </c>
      <c r="B2" s="6" t="s">
        <v>319</v>
      </c>
      <c r="C2" s="6" t="s">
        <v>320</v>
      </c>
      <c r="D2" s="6" t="s">
        <v>321</v>
      </c>
      <c r="E2" s="6" t="s">
        <v>322</v>
      </c>
      <c r="F2" s="6" t="s">
        <v>323</v>
      </c>
    </row>
    <row r="3" customFormat="false" ht="30" hidden="false" customHeight="true" outlineLevel="0" collapsed="false">
      <c r="A3" s="8" t="s">
        <v>87</v>
      </c>
      <c r="B3" s="6" t="s">
        <v>324</v>
      </c>
      <c r="C3" s="6" t="s">
        <v>325</v>
      </c>
      <c r="D3" s="6" t="s">
        <v>321</v>
      </c>
      <c r="E3" s="6" t="s">
        <v>326</v>
      </c>
      <c r="F3" s="6" t="s">
        <v>327</v>
      </c>
    </row>
    <row r="4" customFormat="false" ht="30" hidden="false" customHeight="true" outlineLevel="0" collapsed="false">
      <c r="A4" s="8" t="s">
        <v>328</v>
      </c>
      <c r="B4" s="6" t="s">
        <v>329</v>
      </c>
      <c r="C4" s="6" t="s">
        <v>135</v>
      </c>
      <c r="D4" s="6" t="s">
        <v>330</v>
      </c>
      <c r="E4" s="6" t="s">
        <v>331</v>
      </c>
      <c r="F4" s="6" t="s">
        <v>323</v>
      </c>
    </row>
    <row r="5" customFormat="false" ht="55.5" hidden="false" customHeight="true" outlineLevel="0" collapsed="false">
      <c r="A5" s="8" t="s">
        <v>332</v>
      </c>
      <c r="B5" s="6" t="s">
        <v>333</v>
      </c>
      <c r="C5" s="6" t="s">
        <v>188</v>
      </c>
      <c r="D5" s="6" t="s">
        <v>321</v>
      </c>
      <c r="E5" s="6" t="s">
        <v>334</v>
      </c>
      <c r="F5" s="6" t="s">
        <v>323</v>
      </c>
    </row>
    <row r="6" customFormat="false" ht="30" hidden="false" customHeight="true" outlineLevel="0" collapsed="false">
      <c r="A6" s="8" t="s">
        <v>335</v>
      </c>
      <c r="B6" s="6" t="s">
        <v>336</v>
      </c>
      <c r="C6" s="6" t="s">
        <v>337</v>
      </c>
      <c r="D6" s="6" t="s">
        <v>330</v>
      </c>
      <c r="E6" s="6" t="s">
        <v>338</v>
      </c>
      <c r="F6" s="6" t="s">
        <v>323</v>
      </c>
    </row>
    <row r="7" customFormat="false" ht="30" hidden="false" customHeight="true" outlineLevel="0" collapsed="false">
      <c r="A7" s="8" t="s">
        <v>156</v>
      </c>
      <c r="B7" s="6" t="s">
        <v>339</v>
      </c>
      <c r="C7" s="6" t="s">
        <v>340</v>
      </c>
      <c r="D7" s="6" t="s">
        <v>330</v>
      </c>
      <c r="E7" s="6" t="s">
        <v>341</v>
      </c>
      <c r="F7" s="6" t="s">
        <v>323</v>
      </c>
    </row>
    <row r="8" customFormat="false" ht="55.5" hidden="false" customHeight="true" outlineLevel="0" collapsed="false">
      <c r="A8" s="8" t="s">
        <v>342</v>
      </c>
      <c r="B8" s="6" t="s">
        <v>343</v>
      </c>
      <c r="C8" s="6" t="s">
        <v>344</v>
      </c>
      <c r="D8" s="6" t="s">
        <v>321</v>
      </c>
      <c r="E8" s="6" t="s">
        <v>345</v>
      </c>
      <c r="F8" s="6" t="s">
        <v>323</v>
      </c>
    </row>
    <row r="9" customFormat="false" ht="30" hidden="false" customHeight="true" outlineLevel="0" collapsed="false">
      <c r="A9" s="8" t="s">
        <v>346</v>
      </c>
      <c r="B9" s="6" t="s">
        <v>347</v>
      </c>
      <c r="C9" s="6" t="s">
        <v>257</v>
      </c>
      <c r="D9" s="6" t="s">
        <v>330</v>
      </c>
      <c r="E9" s="6" t="s">
        <v>348</v>
      </c>
      <c r="F9" s="6" t="s">
        <v>323</v>
      </c>
    </row>
    <row r="10" customFormat="false" ht="30" hidden="false" customHeight="true" outlineLevel="0" collapsed="false">
      <c r="A10" s="8" t="s">
        <v>133</v>
      </c>
      <c r="B10" s="6" t="s">
        <v>349</v>
      </c>
      <c r="C10" s="6" t="s">
        <v>124</v>
      </c>
      <c r="D10" s="6" t="s">
        <v>350</v>
      </c>
      <c r="E10" s="6" t="s">
        <v>351</v>
      </c>
      <c r="F10" s="6" t="s">
        <v>323</v>
      </c>
    </row>
    <row r="11" customFormat="false" ht="30" hidden="false" customHeight="true" outlineLevel="0" collapsed="false">
      <c r="A11" s="8" t="s">
        <v>352</v>
      </c>
      <c r="B11" s="6" t="s">
        <v>353</v>
      </c>
      <c r="C11" s="6" t="s">
        <v>220</v>
      </c>
      <c r="D11" s="6" t="s">
        <v>350</v>
      </c>
      <c r="E11" s="6" t="s">
        <v>354</v>
      </c>
      <c r="F11" s="6" t="s">
        <v>323</v>
      </c>
    </row>
    <row r="12" customFormat="false" ht="30" hidden="false" customHeight="true" outlineLevel="0" collapsed="false">
      <c r="A12" s="8" t="s">
        <v>355</v>
      </c>
      <c r="B12" s="6" t="s">
        <v>356</v>
      </c>
      <c r="C12" s="6" t="s">
        <v>357</v>
      </c>
      <c r="D12" s="6" t="s">
        <v>350</v>
      </c>
      <c r="E12" s="6" t="s">
        <v>358</v>
      </c>
      <c r="F12" s="6" t="s">
        <v>323</v>
      </c>
    </row>
    <row r="13" customFormat="false" ht="30" hidden="false" customHeight="true" outlineLevel="0" collapsed="false">
      <c r="A13" s="8" t="s">
        <v>172</v>
      </c>
      <c r="B13" s="6" t="s">
        <v>359</v>
      </c>
      <c r="C13" s="6" t="s">
        <v>165</v>
      </c>
      <c r="D13" s="6" t="s">
        <v>330</v>
      </c>
      <c r="E13" s="6" t="s">
        <v>360</v>
      </c>
      <c r="F13" s="6" t="s">
        <v>323</v>
      </c>
    </row>
    <row r="14" customFormat="false" ht="30" hidden="false" customHeight="true" outlineLevel="0" collapsed="false">
      <c r="A14" s="8" t="s">
        <v>218</v>
      </c>
      <c r="B14" s="6" t="s">
        <v>361</v>
      </c>
      <c r="C14" s="6" t="s">
        <v>212</v>
      </c>
      <c r="D14" s="6" t="s">
        <v>350</v>
      </c>
      <c r="E14" s="6" t="s">
        <v>362</v>
      </c>
      <c r="F14" s="6" t="s">
        <v>323</v>
      </c>
    </row>
    <row r="15" customFormat="false" ht="30" hidden="false" customHeight="true" outlineLevel="0" collapsed="false">
      <c r="A15" s="8" t="s">
        <v>363</v>
      </c>
      <c r="B15" s="6" t="s">
        <v>364</v>
      </c>
      <c r="C15" s="6" t="s">
        <v>365</v>
      </c>
      <c r="D15" s="6" t="s">
        <v>321</v>
      </c>
      <c r="E15" s="6" t="s">
        <v>366</v>
      </c>
      <c r="F15" s="6" t="s">
        <v>323</v>
      </c>
    </row>
  </sheetData>
  <autoFilter ref="A1:F15"/>
  <conditionalFormatting sqref="D2:D15">
    <cfRule type="expression" priority="2" aboveAverage="0" equalAverage="0" bottom="0" percent="0" rank="0" text="" dxfId="8">
      <formula>D2="High"</formula>
    </cfRule>
    <cfRule type="expression" priority="3" aboveAverage="0" equalAverage="0" bottom="0" percent="0" rank="0" text="" dxfId="9">
      <formula>D2="Medium"</formula>
    </cfRule>
    <cfRule type="expression" priority="4" aboveAverage="0" equalAverage="0" bottom="0" percent="0" rank="0" text="" dxfId="14">
      <formula>D2="Low"</formula>
    </cfRule>
  </conditionalFormatting>
  <conditionalFormatting sqref="F2:F15">
    <cfRule type="expression" priority="5" aboveAverage="0" equalAverage="0" bottom="0" percent="0" rank="0" text="" dxfId="7">
      <formula>F2="Closed"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2026-10-14T07:33:18Z</dcterms:created>
  <dc:creator>openpyxl</dc:creator>
  <dc:description/>
  <dc:language>en-US</dc:language>
  <cp:lastModifiedBy/>
  <dcterms:modified xsi:type="dcterms:W3CDTF">2026-10-14T07:33:18Z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